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7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2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22" t="inlineStr">
        <is>
          <t>ARCFIN</t>
        </is>
      </c>
      <c r="B4" s="23" t="inlineStr">
        <is>
          <t>BSE</t>
        </is>
      </c>
      <c r="C4" s="22" t="inlineStr">
        <is>
          <t>Banking &amp; Finance</t>
        </is>
      </c>
      <c r="D4" s="24" t="n">
        <v>1800</v>
      </c>
      <c r="E4" s="25" t="n">
        <v>0.93</v>
      </c>
      <c r="F4" s="26" t="n"/>
      <c r="G4" s="25" t="n">
        <v>0.5600000000000001</v>
      </c>
      <c r="H4" s="24" t="n"/>
      <c r="I4" s="24" t="n"/>
      <c r="J4" s="76">
        <f>IFERROR(D4*E4,"")</f>
        <v/>
      </c>
      <c r="K4" s="76">
        <f>IFERROR(D4*G4,"")</f>
        <v/>
      </c>
      <c r="L4" s="76">
        <f>IFERROR(K4-J4,"")</f>
        <v/>
      </c>
      <c r="M4" s="77">
        <f>IFERROR((K4-J4)/J4,"")</f>
        <v/>
      </c>
      <c r="N4" s="77">
        <f>IFERROR(IF(F4="","",((G4/E4)^(365/MAX(1,TODAY()-F4))-1)),"")</f>
        <v/>
      </c>
      <c r="O4" s="77">
        <f>IFERROR(K4/SUM($K$4:$K$53),"")</f>
        <v/>
      </c>
      <c r="Q4" s="75">
        <f>IF(ISBLANK(F4), "", IF(TODAY()-F4&gt;365, "LTCG", "STCG"))</f>
        <v/>
      </c>
      <c r="R4" s="75">
        <f>IF(ISBLANK(L4), "", L4+IF(ISNUMBER(P4), P4, 0))</f>
        <v/>
      </c>
    </row>
    <row r="5" ht="16.5" customHeight="1" s="59">
      <c r="A5" s="29" t="inlineStr">
        <is>
          <t>ASHOKLEY</t>
        </is>
      </c>
      <c r="B5" s="30" t="inlineStr">
        <is>
          <t>NSE</t>
        </is>
      </c>
      <c r="C5" s="29" t="inlineStr">
        <is>
          <t>Industrials</t>
        </is>
      </c>
      <c r="D5" s="31" t="n">
        <v>8</v>
      </c>
      <c r="E5" s="32" t="n">
        <v>120.23</v>
      </c>
      <c r="F5" s="33" t="n"/>
      <c r="G5" s="32" t="n">
        <v>141.02</v>
      </c>
      <c r="H5" s="31" t="n"/>
      <c r="I5" s="31" t="n"/>
      <c r="J5" s="78">
        <f>IFERROR(D5*E5,"")</f>
        <v/>
      </c>
      <c r="K5" s="78">
        <f>IFERROR(D5*G5,"")</f>
        <v/>
      </c>
      <c r="L5" s="78">
        <f>IFERROR(K5-J5,"")</f>
        <v/>
      </c>
      <c r="M5" s="79">
        <f>IFERROR((K5-J5)/J5,"")</f>
        <v/>
      </c>
      <c r="N5" s="79">
        <f>IFERROR(IF(F5="","",((G5/E5)^(365/MAX(1,TODAY()-F5))-1)),"")</f>
        <v/>
      </c>
      <c r="O5" s="79">
        <f>IFERROR(K5/SUM($K$4:$K$53),"")</f>
        <v/>
      </c>
      <c r="Q5" s="75">
        <f>IF(ISBLANK(F5), "", IF(TODAY()-F5&gt;365, "LTCG", "STCG"))</f>
        <v/>
      </c>
      <c r="R5" s="75">
        <f>IF(ISBLANK(L5), "", L5+IF(ISNUMBER(P5), P5, 0))</f>
        <v/>
      </c>
    </row>
    <row r="6" ht="16.5" customHeight="1" s="59">
      <c r="A6" s="22" t="inlineStr">
        <is>
          <t>COALINDIA</t>
        </is>
      </c>
      <c r="B6" s="30" t="inlineStr">
        <is>
          <t>NSE</t>
        </is>
      </c>
      <c r="C6" s="22" t="inlineStr">
        <is>
          <t>Energy</t>
        </is>
      </c>
      <c r="D6" s="24" t="n">
        <v>10</v>
      </c>
      <c r="E6" s="25" t="n">
        <v>305.41</v>
      </c>
      <c r="F6" s="26" t="n"/>
      <c r="G6" s="25" t="n">
        <v>464.9</v>
      </c>
      <c r="H6" s="24" t="n"/>
      <c r="I6" s="24" t="n"/>
      <c r="J6" s="76">
        <f>IFERROR(D6*E6,"")</f>
        <v/>
      </c>
      <c r="K6" s="76">
        <f>IFERROR(D6*G6,"")</f>
        <v/>
      </c>
      <c r="L6" s="76">
        <f>IFERROR(K6-J6,"")</f>
        <v/>
      </c>
      <c r="M6" s="77">
        <f>IFERROR((K6-J6)/J6,"")</f>
        <v/>
      </c>
      <c r="N6" s="77">
        <f>IFERROR(IF(F6="","",((G6/E6)^(365/MAX(1,TODAY()-F6))-1)),"")</f>
        <v/>
      </c>
      <c r="O6" s="77">
        <f>IFERROR(K6/SUM($K$4:$K$53),"")</f>
        <v/>
      </c>
      <c r="Q6" s="75">
        <f>IF(ISBLANK(F6), "", IF(TODAY()-F6&gt;365, "LTCG", "STCG"))</f>
        <v/>
      </c>
      <c r="R6" s="75">
        <f>IF(ISBLANK(L6), "", L6+IF(ISNUMBER(P6), P6, 0))</f>
        <v/>
      </c>
    </row>
    <row r="7" ht="16.5" customHeight="1" s="59">
      <c r="A7" s="29" t="inlineStr">
        <is>
          <t>CPSEETF</t>
        </is>
      </c>
      <c r="B7" s="30" t="inlineStr">
        <is>
          <t>NSE</t>
        </is>
      </c>
      <c r="C7" s="29" t="n"/>
      <c r="D7" s="31" t="n">
        <v>1</v>
      </c>
      <c r="E7" s="32" t="n">
        <v>88.45</v>
      </c>
      <c r="F7" s="33" t="n"/>
      <c r="G7" s="32" t="n">
        <v>100.14</v>
      </c>
      <c r="H7" s="31" t="n"/>
      <c r="I7" s="31" t="n"/>
      <c r="J7" s="78">
        <f>IFERROR(D7*E7,"")</f>
        <v/>
      </c>
      <c r="K7" s="78">
        <f>IFERROR(D7*G7,"")</f>
        <v/>
      </c>
      <c r="L7" s="78">
        <f>IFERROR(K7-J7,"")</f>
        <v/>
      </c>
      <c r="M7" s="79">
        <f>IFERROR((K7-J7)/J7,"")</f>
        <v/>
      </c>
      <c r="N7" s="79">
        <f>IFERROR(IF(F7="","",((G7/E7)^(365/MAX(1,TODAY()-F7))-1)),"")</f>
        <v/>
      </c>
      <c r="O7" s="79">
        <f>IFERROR(K7/SUM($K$4:$K$53),"")</f>
        <v/>
      </c>
      <c r="Q7" s="75">
        <f>IF(ISBLANK(F7), "", IF(TODAY()-F7&gt;365, "LTCG", "STCG"))</f>
        <v/>
      </c>
      <c r="R7" s="75">
        <f>IF(ISBLANK(L7), "", L7+IF(ISNUMBER(P7), P7, 0))</f>
        <v/>
      </c>
    </row>
    <row r="8" ht="16.5" customHeight="1" s="59">
      <c r="A8" s="22" t="inlineStr">
        <is>
          <t>GOLDBEES</t>
        </is>
      </c>
      <c r="B8" s="30" t="inlineStr">
        <is>
          <t>NSE</t>
        </is>
      </c>
      <c r="C8" s="22" t="n"/>
      <c r="D8" s="24" t="n">
        <v>10</v>
      </c>
      <c r="E8" s="25" t="n">
        <v>60.71</v>
      </c>
      <c r="F8" s="26" t="n"/>
      <c r="G8" s="25" t="n">
        <v>124.16</v>
      </c>
      <c r="H8" s="24" t="n"/>
      <c r="I8" s="24" t="n"/>
      <c r="J8" s="76">
        <f>IFERROR(D8*E8,"")</f>
        <v/>
      </c>
      <c r="K8" s="76">
        <f>IFERROR(D8*G8,"")</f>
        <v/>
      </c>
      <c r="L8" s="76">
        <f>IFERROR(K8-J8,"")</f>
        <v/>
      </c>
      <c r="M8" s="77">
        <f>IFERROR((K8-J8)/J8,"")</f>
        <v/>
      </c>
      <c r="N8" s="77">
        <f>IFERROR(IF(F8="","",((G8/E8)^(365/MAX(1,TODAY()-F8))-1)),"")</f>
        <v/>
      </c>
      <c r="O8" s="77">
        <f>IFERROR(K8/SUM($K$4:$K$53),"")</f>
        <v/>
      </c>
      <c r="Q8" s="75">
        <f>IF(ISBLANK(F8), "", IF(TODAY()-F8&gt;365, "LTCG", "STCG"))</f>
        <v/>
      </c>
      <c r="R8" s="75">
        <f>IF(ISBLANK(L8), "", L8+IF(ISNUMBER(P8), P8, 0))</f>
        <v/>
      </c>
    </row>
    <row r="9" ht="16.5" customHeight="1" s="59">
      <c r="A9" s="29" t="inlineStr">
        <is>
          <t>HDFCBANK</t>
        </is>
      </c>
      <c r="B9" s="30" t="inlineStr">
        <is>
          <t>NSE</t>
        </is>
      </c>
      <c r="C9" s="29" t="inlineStr">
        <is>
          <t>Banking &amp; Finance</t>
        </is>
      </c>
      <c r="D9" s="31" t="n">
        <v>2</v>
      </c>
      <c r="E9" s="32" t="n">
        <v>755.08</v>
      </c>
      <c r="F9" s="33" t="n"/>
      <c r="G9" s="32" t="n">
        <v>738.65</v>
      </c>
      <c r="H9" s="31" t="n"/>
      <c r="I9" s="31" t="n"/>
      <c r="J9" s="78">
        <f>IFERROR(D9*E9,"")</f>
        <v/>
      </c>
      <c r="K9" s="78">
        <f>IFERROR(D9*G9,"")</f>
        <v/>
      </c>
      <c r="L9" s="78">
        <f>IFERROR(K9-J9,"")</f>
        <v/>
      </c>
      <c r="M9" s="79">
        <f>IFERROR((K9-J9)/J9,"")</f>
        <v/>
      </c>
      <c r="N9" s="79">
        <f>IFERROR(IF(F9="","",((G9/E9)^(365/MAX(1,TODAY()-F9))-1)),"")</f>
        <v/>
      </c>
      <c r="O9" s="79">
        <f>IFERROR(K9/SUM($K$4:$K$53),"")</f>
        <v/>
      </c>
      <c r="Q9" s="75">
        <f>IF(ISBLANK(F9), "", IF(TODAY()-F9&gt;365, "LTCG", "STCG"))</f>
        <v/>
      </c>
      <c r="R9" s="75">
        <f>IF(ISBLANK(L9), "", L9+IF(ISNUMBER(P9), P9, 0))</f>
        <v/>
      </c>
    </row>
    <row r="10" ht="16.5" customHeight="1" s="59">
      <c r="A10" s="22" t="inlineStr">
        <is>
          <t>HDFCSML250</t>
        </is>
      </c>
      <c r="B10" s="30" t="inlineStr">
        <is>
          <t>NSE</t>
        </is>
      </c>
      <c r="C10" s="22" t="n"/>
      <c r="D10" s="24" t="n">
        <v>1</v>
      </c>
      <c r="E10" s="25" t="n">
        <v>160.2</v>
      </c>
      <c r="F10" s="26" t="n"/>
      <c r="G10" s="25" t="n">
        <v>168.57</v>
      </c>
      <c r="H10" s="24" t="n"/>
      <c r="I10" s="24" t="n"/>
      <c r="J10" s="76">
        <f>IFERROR(D10*E10,"")</f>
        <v/>
      </c>
      <c r="K10" s="76">
        <f>IFERROR(D10*G10,"")</f>
        <v/>
      </c>
      <c r="L10" s="76">
        <f>IFERROR(K10-J10,"")</f>
        <v/>
      </c>
      <c r="M10" s="77">
        <f>IFERROR((K10-J10)/J10,"")</f>
        <v/>
      </c>
      <c r="N10" s="77">
        <f>IFERROR(IF(F10="","",((G10/E10)^(365/MAX(1,TODAY()-F10))-1)),"")</f>
        <v/>
      </c>
      <c r="O10" s="77">
        <f>IFERROR(K10/SUM($K$4:$K$53),"")</f>
        <v/>
      </c>
      <c r="Q10" s="75">
        <f>IF(ISBLANK(F10), "", IF(TODAY()-F10&gt;365, "LTCG", "STCG"))</f>
        <v/>
      </c>
      <c r="R10" s="75">
        <f>IF(ISBLANK(L10), "", L10+IF(ISNUMBER(P10), P10, 0))</f>
        <v/>
      </c>
    </row>
    <row r="11" ht="16.5" customHeight="1" s="59">
      <c r="A11" s="22" t="inlineStr">
        <is>
          <t>HYUNDAI</t>
        </is>
      </c>
      <c r="B11" s="30" t="inlineStr">
        <is>
          <t>NSE</t>
        </is>
      </c>
      <c r="C11" s="29" t="inlineStr">
        <is>
          <t>Consumer Discretionary</t>
        </is>
      </c>
      <c r="D11" s="31" t="n">
        <v>7</v>
      </c>
      <c r="E11" s="32" t="n">
        <v>1960</v>
      </c>
      <c r="F11" s="33" t="n"/>
      <c r="G11" s="32" t="n">
        <v>1894.7</v>
      </c>
      <c r="H11" s="31" t="n"/>
      <c r="I11" s="31" t="n"/>
      <c r="J11" s="78">
        <f>IFERROR(D11*E11,"")</f>
        <v/>
      </c>
      <c r="K11" s="78">
        <f>IFERROR(D11*G11,"")</f>
        <v/>
      </c>
      <c r="L11" s="78">
        <f>IFERROR(K11-J11,"")</f>
        <v/>
      </c>
      <c r="M11" s="79">
        <f>IFERROR((K11-J11)/J11,"")</f>
        <v/>
      </c>
      <c r="N11" s="79">
        <f>IFERROR(IF(F11="","",((G11/E11)^(365/MAX(1,TODAY()-F11))-1)),"")</f>
        <v/>
      </c>
      <c r="O11" s="79">
        <f>IFERROR(K11/SUM($K$4:$K$53),"")</f>
        <v/>
      </c>
      <c r="Q11" s="75">
        <f>IF(ISBLANK(F11), "", IF(TODAY()-F11&gt;365, "LTCG", "STCG"))</f>
        <v/>
      </c>
      <c r="R11" s="75">
        <f>IF(ISBLANK(L11), "", L11+IF(ISNUMBER(P11), P11, 0))</f>
        <v/>
      </c>
    </row>
    <row r="12" ht="16.5" customHeight="1" s="59">
      <c r="A12" s="29" t="inlineStr">
        <is>
          <t>IDEA</t>
        </is>
      </c>
      <c r="B12" s="30" t="inlineStr">
        <is>
          <t>NSE</t>
        </is>
      </c>
      <c r="C12" s="22" t="inlineStr">
        <is>
          <t>Communication</t>
        </is>
      </c>
      <c r="D12" s="24" t="n">
        <v>700</v>
      </c>
      <c r="E12" s="25" t="n">
        <v>11</v>
      </c>
      <c r="F12" s="26" t="n"/>
      <c r="G12" s="25" t="n">
        <v>14.4</v>
      </c>
      <c r="H12" s="24" t="n"/>
      <c r="I12" s="24" t="n"/>
      <c r="J12" s="76">
        <f>IFERROR(D12*E12,"")</f>
        <v/>
      </c>
      <c r="K12" s="76">
        <f>IFERROR(D12*G12,"")</f>
        <v/>
      </c>
      <c r="L12" s="76">
        <f>IFERROR(K12-J12,"")</f>
        <v/>
      </c>
      <c r="M12" s="77">
        <f>IFERROR((K12-J12)/J12,"")</f>
        <v/>
      </c>
      <c r="N12" s="77">
        <f>IFERROR(IF(F12="","",((G12/E12)^(365/MAX(1,TODAY()-F12))-1)),"")</f>
        <v/>
      </c>
      <c r="O12" s="77">
        <f>IFERROR(K12/SUM($K$4:$K$53),"")</f>
        <v/>
      </c>
      <c r="Q12" s="75">
        <f>IF(ISBLANK(F12), "", IF(TODAY()-F12&gt;365, "LTCG", "STCG"))</f>
        <v/>
      </c>
      <c r="R12" s="75">
        <f>IF(ISBLANK(L12), "", L12+IF(ISNUMBER(P12), P12, 0))</f>
        <v/>
      </c>
    </row>
    <row r="13" ht="16.5" customHeight="1" s="59">
      <c r="A13" s="22" t="inlineStr">
        <is>
          <t>IRFC</t>
        </is>
      </c>
      <c r="B13" s="30" t="inlineStr">
        <is>
          <t>NSE</t>
        </is>
      </c>
      <c r="C13" s="29" t="inlineStr">
        <is>
          <t>Banking &amp; Finance</t>
        </is>
      </c>
      <c r="D13" s="31" t="n">
        <v>10</v>
      </c>
      <c r="E13" s="32" t="n">
        <v>77.15000000000001</v>
      </c>
      <c r="F13" s="33" t="n"/>
      <c r="G13" s="32" t="n">
        <v>94.7</v>
      </c>
      <c r="H13" s="31" t="n"/>
      <c r="I13" s="31" t="n"/>
      <c r="J13" s="78">
        <f>IFERROR(D13*E13,"")</f>
        <v/>
      </c>
      <c r="K13" s="78">
        <f>IFERROR(D13*G13,"")</f>
        <v/>
      </c>
      <c r="L13" s="78">
        <f>IFERROR(K13-J13,"")</f>
        <v/>
      </c>
      <c r="M13" s="79">
        <f>IFERROR((K13-J13)/J13,"")</f>
        <v/>
      </c>
      <c r="N13" s="79">
        <f>IFERROR(IF(F13="","",((G13/E13)^(365/MAX(1,TODAY()-F13))-1)),"")</f>
        <v/>
      </c>
      <c r="O13" s="79">
        <f>IFERROR(K13/SUM($K$4:$K$53),"")</f>
        <v/>
      </c>
      <c r="Q13" s="75">
        <f>IF(ISBLANK(F13), "", IF(TODAY()-F13&gt;365, "LTCG", "STCG"))</f>
        <v/>
      </c>
      <c r="R13" s="75">
        <f>IF(ISBLANK(L13), "", L13+IF(ISNUMBER(P13), P13, 0))</f>
        <v/>
      </c>
    </row>
    <row r="14" ht="16.5" customHeight="1" s="59">
      <c r="A14" s="29" t="inlineStr">
        <is>
          <t>LTGILTBEES</t>
        </is>
      </c>
      <c r="B14" s="30" t="inlineStr">
        <is>
          <t>NSE</t>
        </is>
      </c>
      <c r="C14" s="22" t="n"/>
      <c r="D14" s="24" t="n">
        <v>6</v>
      </c>
      <c r="E14" s="25" t="n">
        <v>25.75</v>
      </c>
      <c r="F14" s="26" t="n"/>
      <c r="G14" s="25" t="n">
        <v>29.38</v>
      </c>
      <c r="H14" s="24" t="n"/>
      <c r="I14" s="24" t="n"/>
      <c r="J14" s="76">
        <f>IFERROR(D14*E14,"")</f>
        <v/>
      </c>
      <c r="K14" s="76">
        <f>IFERROR(D14*G14,"")</f>
        <v/>
      </c>
      <c r="L14" s="76">
        <f>IFERROR(K14-J14,"")</f>
        <v/>
      </c>
      <c r="M14" s="77">
        <f>IFERROR((K14-J14)/J14,"")</f>
        <v/>
      </c>
      <c r="N14" s="77">
        <f>IFERROR(IF(F14="","",((G14/E14)^(365/MAX(1,TODAY()-F14))-1)),"")</f>
        <v/>
      </c>
      <c r="O14" s="77">
        <f>IFERROR(K14/SUM($K$4:$K$53),"")</f>
        <v/>
      </c>
      <c r="Q14" s="75">
        <f>IF(ISBLANK(F14), "", IF(TODAY()-F14&gt;365, "LTCG", "STCG"))</f>
        <v/>
      </c>
      <c r="R14" s="75">
        <f>IF(ISBLANK(L14), "", L14+IF(ISNUMBER(P14), P14, 0))</f>
        <v/>
      </c>
    </row>
    <row r="15" ht="16.5" customHeight="1" s="59">
      <c r="A15" s="22" t="inlineStr">
        <is>
          <t>MID150BEES</t>
        </is>
      </c>
      <c r="B15" s="30" t="inlineStr">
        <is>
          <t>NSE</t>
        </is>
      </c>
      <c r="C15" s="29" t="n"/>
      <c r="D15" s="31" t="n">
        <v>1</v>
      </c>
      <c r="E15" s="32" t="n">
        <v>203.35</v>
      </c>
      <c r="F15" s="33" t="n"/>
      <c r="G15" s="32" t="n">
        <v>226.84</v>
      </c>
      <c r="H15" s="31" t="n"/>
      <c r="I15" s="31" t="n"/>
      <c r="J15" s="78">
        <f>IFERROR(D15*E15,"")</f>
        <v/>
      </c>
      <c r="K15" s="78">
        <f>IFERROR(D15*G15,"")</f>
        <v/>
      </c>
      <c r="L15" s="78">
        <f>IFERROR(K15-J15,"")</f>
        <v/>
      </c>
      <c r="M15" s="79">
        <f>IFERROR((K15-J15)/J15,"")</f>
        <v/>
      </c>
      <c r="N15" s="79">
        <f>IFERROR(IF(F15="","",((G15/E15)^(365/MAX(1,TODAY()-F15))-1)),"")</f>
        <v/>
      </c>
      <c r="O15" s="79">
        <f>IFERROR(K15/SUM($K$4:$K$53),"")</f>
        <v/>
      </c>
      <c r="Q15" s="75">
        <f>IF(ISBLANK(F15), "", IF(TODAY()-F15&gt;365, "LTCG", "STCG"))</f>
        <v/>
      </c>
      <c r="R15" s="75">
        <f>IF(ISBLANK(L15), "", L15+IF(ISNUMBER(P15), P15, 0))</f>
        <v/>
      </c>
    </row>
    <row r="16" ht="16.5" customHeight="1" s="59">
      <c r="A16" s="29" t="inlineStr">
        <is>
          <t>MON100</t>
        </is>
      </c>
      <c r="B16" s="30" t="inlineStr">
        <is>
          <t>NSE</t>
        </is>
      </c>
      <c r="C16" s="22" t="n"/>
      <c r="D16" s="24" t="n">
        <v>2</v>
      </c>
      <c r="E16" s="25" t="n">
        <v>145.1</v>
      </c>
      <c r="F16" s="26" t="n"/>
      <c r="G16" s="25" t="n">
        <v>330.89</v>
      </c>
      <c r="H16" s="24" t="n"/>
      <c r="I16" s="24" t="n"/>
      <c r="J16" s="76">
        <f>IFERROR(D16*E16,"")</f>
        <v/>
      </c>
      <c r="K16" s="76">
        <f>IFERROR(D16*G16,"")</f>
        <v/>
      </c>
      <c r="L16" s="76">
        <f>IFERROR(K16-J16,"")</f>
        <v/>
      </c>
      <c r="M16" s="77">
        <f>IFERROR((K16-J16)/J16,"")</f>
        <v/>
      </c>
      <c r="N16" s="77">
        <f>IFERROR(IF(F16="","",((G16/E16)^(365/MAX(1,TODAY()-F16))-1)),"")</f>
        <v/>
      </c>
      <c r="O16" s="77">
        <f>IFERROR(K16/SUM($K$4:$K$53),"")</f>
        <v/>
      </c>
      <c r="Q16" s="75">
        <f>IF(ISBLANK(F16), "", IF(TODAY()-F16&gt;365, "LTCG", "STCG"))</f>
        <v/>
      </c>
      <c r="R16" s="75">
        <f>IF(ISBLANK(L16), "", L16+IF(ISNUMBER(P16), P16, 0))</f>
        <v/>
      </c>
    </row>
    <row r="17" ht="16.5" customHeight="1" s="59">
      <c r="A17" s="22" t="inlineStr">
        <is>
          <t>NHPC</t>
        </is>
      </c>
      <c r="B17" s="30" t="inlineStr">
        <is>
          <t>NSE</t>
        </is>
      </c>
      <c r="C17" s="29" t="inlineStr">
        <is>
          <t>Utilities</t>
        </is>
      </c>
      <c r="D17" s="31" t="n">
        <v>10</v>
      </c>
      <c r="E17" s="32" t="n">
        <v>85.59999999999999</v>
      </c>
      <c r="F17" s="33" t="n"/>
      <c r="G17" s="32" t="n">
        <v>73.51000000000001</v>
      </c>
      <c r="H17" s="31" t="n"/>
      <c r="I17" s="31" t="n"/>
      <c r="J17" s="78">
        <f>IFERROR(D17*E17,"")</f>
        <v/>
      </c>
      <c r="K17" s="78">
        <f>IFERROR(D17*G17,"")</f>
        <v/>
      </c>
      <c r="L17" s="78">
        <f>IFERROR(K17-J17,"")</f>
        <v/>
      </c>
      <c r="M17" s="79">
        <f>IFERROR((K17-J17)/J17,"")</f>
        <v/>
      </c>
      <c r="N17" s="79">
        <f>IFERROR(IF(F17="","",((G17/E17)^(365/MAX(1,TODAY()-F17))-1)),"")</f>
        <v/>
      </c>
      <c r="O17" s="79">
        <f>IFERROR(K17/SUM($K$4:$K$53),"")</f>
        <v/>
      </c>
      <c r="Q17" s="75">
        <f>IF(ISBLANK(F17), "", IF(TODAY()-F17&gt;365, "LTCG", "STCG"))</f>
        <v/>
      </c>
      <c r="R17" s="75">
        <f>IF(ISBLANK(L17), "", L17+IF(ISNUMBER(P17), P17, 0))</f>
        <v/>
      </c>
    </row>
    <row r="18" ht="16.5" customHeight="1" s="59">
      <c r="A18" s="22" t="inlineStr">
        <is>
          <t>NIFTYBEES</t>
        </is>
      </c>
      <c r="B18" s="30" t="inlineStr">
        <is>
          <t>NSE</t>
        </is>
      </c>
      <c r="C18" s="22" t="n"/>
      <c r="D18" s="24" t="n">
        <v>1</v>
      </c>
      <c r="E18" s="25" t="n">
        <v>251.83</v>
      </c>
      <c r="F18" s="26" t="n"/>
      <c r="G18" s="25" t="n">
        <v>262.56</v>
      </c>
      <c r="H18" s="24" t="n"/>
      <c r="I18" s="24" t="n"/>
      <c r="J18" s="76">
        <f>IFERROR(D18*E18,"")</f>
        <v/>
      </c>
      <c r="K18" s="76">
        <f>IFERROR(D18*G18,"")</f>
        <v/>
      </c>
      <c r="L18" s="76">
        <f>IFERROR(K18-J18,"")</f>
        <v/>
      </c>
      <c r="M18" s="77">
        <f>IFERROR((K18-J18)/J18,"")</f>
        <v/>
      </c>
      <c r="N18" s="77">
        <f>IFERROR(IF(F18="","",((G18/E18)^(365/MAX(1,TODAY()-F18))-1)),"")</f>
        <v/>
      </c>
      <c r="O18" s="77">
        <f>IFERROR(K18/SUM($K$4:$K$53),"")</f>
        <v/>
      </c>
      <c r="Q18" s="75">
        <f>IF(ISBLANK(F18), "", IF(TODAY()-F18&gt;365, "LTCG", "STCG"))</f>
        <v/>
      </c>
      <c r="R18" s="75">
        <f>IF(ISBLANK(L18), "", L18+IF(ISNUMBER(P18), P18, 0))</f>
        <v/>
      </c>
    </row>
    <row r="19" ht="16.5" customHeight="1" s="59">
      <c r="A19" s="29" t="inlineStr">
        <is>
          <t>POWERGRID</t>
        </is>
      </c>
      <c r="B19" s="30" t="inlineStr">
        <is>
          <t>NSE</t>
        </is>
      </c>
      <c r="C19" s="29" t="inlineStr">
        <is>
          <t>Utilities</t>
        </is>
      </c>
      <c r="D19" s="31" t="n">
        <v>2</v>
      </c>
      <c r="E19" s="32" t="n">
        <v>264.21</v>
      </c>
      <c r="F19" s="33" t="n"/>
      <c r="G19" s="32" t="n">
        <v>290.3</v>
      </c>
      <c r="H19" s="31" t="n"/>
      <c r="I19" s="31" t="n"/>
      <c r="J19" s="78">
        <f>IFERROR(D19*E19,"")</f>
        <v/>
      </c>
      <c r="K19" s="78">
        <f>IFERROR(D19*G19,"")</f>
        <v/>
      </c>
      <c r="L19" s="78">
        <f>IFERROR(K19-J19,"")</f>
        <v/>
      </c>
      <c r="M19" s="79">
        <f>IFERROR((K19-J19)/J19,"")</f>
        <v/>
      </c>
      <c r="N19" s="79">
        <f>IFERROR(IF(F19="","",((G19/E19)^(365/MAX(1,TODAY()-F19))-1)),"")</f>
        <v/>
      </c>
      <c r="O19" s="79">
        <f>IFERROR(K19/SUM($K$4:$K$53),"")</f>
        <v/>
      </c>
      <c r="Q19" s="75">
        <f>IF(ISBLANK(F19), "", IF(TODAY()-F19&gt;365, "LTCG", "STCG"))</f>
        <v/>
      </c>
      <c r="R19" s="75">
        <f>IF(ISBLANK(L19), "", L19+IF(ISNUMBER(P19), P19, 0))</f>
        <v/>
      </c>
    </row>
    <row r="20" ht="16.5" customHeight="1" s="59">
      <c r="A20" s="22" t="inlineStr">
        <is>
          <t>RAMASTEEL</t>
        </is>
      </c>
      <c r="B20" s="30" t="inlineStr">
        <is>
          <t>NSE</t>
        </is>
      </c>
      <c r="C20" s="22" t="inlineStr">
        <is>
          <t>Materials</t>
        </is>
      </c>
      <c r="D20" s="24" t="n">
        <v>30</v>
      </c>
      <c r="E20" s="25" t="n">
        <v>12.38</v>
      </c>
      <c r="F20" s="26" t="n"/>
      <c r="G20" s="25" t="n">
        <v>5.19</v>
      </c>
      <c r="H20" s="24" t="n"/>
      <c r="I20" s="24" t="n"/>
      <c r="J20" s="76">
        <f>IFERROR(D20*E20,"")</f>
        <v/>
      </c>
      <c r="K20" s="76">
        <f>IFERROR(D20*G20,"")</f>
        <v/>
      </c>
      <c r="L20" s="76">
        <f>IFERROR(K20-J20,"")</f>
        <v/>
      </c>
      <c r="M20" s="77">
        <f>IFERROR((K20-J20)/J20,"")</f>
        <v/>
      </c>
      <c r="N20" s="77">
        <f>IFERROR(IF(F20="","",((G20/E20)^(365/MAX(1,TODAY()-F20))-1)),"")</f>
        <v/>
      </c>
      <c r="O20" s="77">
        <f>IFERROR(K20/SUM($K$4:$K$53),"")</f>
        <v/>
      </c>
      <c r="Q20" s="75">
        <f>IF(ISBLANK(F20), "", IF(TODAY()-F20&gt;365, "LTCG", "STCG"))</f>
        <v/>
      </c>
      <c r="R20" s="75">
        <f>IF(ISBLANK(L20), "", L20+IF(ISNUMBER(P20), P20, 0))</f>
        <v/>
      </c>
    </row>
    <row r="21" ht="16.5" customHeight="1" s="59">
      <c r="A21" s="29" t="inlineStr">
        <is>
          <t>SAIL</t>
        </is>
      </c>
      <c r="B21" s="30" t="inlineStr">
        <is>
          <t>NSE</t>
        </is>
      </c>
      <c r="C21" s="29" t="inlineStr">
        <is>
          <t>Materials</t>
        </is>
      </c>
      <c r="D21" s="31" t="n">
        <v>10</v>
      </c>
      <c r="E21" s="32" t="n">
        <v>94.15000000000001</v>
      </c>
      <c r="F21" s="33" t="n"/>
      <c r="G21" s="32" t="n">
        <v>183.78</v>
      </c>
      <c r="H21" s="31" t="n"/>
      <c r="I21" s="31" t="n"/>
      <c r="J21" s="78">
        <f>IFERROR(D21*E21,"")</f>
        <v/>
      </c>
      <c r="K21" s="78">
        <f>IFERROR(D21*G21,"")</f>
        <v/>
      </c>
      <c r="L21" s="78">
        <f>IFERROR(K21-J21,"")</f>
        <v/>
      </c>
      <c r="M21" s="79">
        <f>IFERROR((K21-J21)/J21,"")</f>
        <v/>
      </c>
      <c r="N21" s="79">
        <f>IFERROR(IF(F21="","",((G21/E21)^(365/MAX(1,TODAY()-F21))-1)),"")</f>
        <v/>
      </c>
      <c r="O21" s="79">
        <f>IFERROR(K21/SUM($K$4:$K$53),"")</f>
        <v/>
      </c>
      <c r="Q21" s="75">
        <f>IF(ISBLANK(F21), "", IF(TODAY()-F21&gt;365, "LTCG", "STCG"))</f>
        <v/>
      </c>
      <c r="R21" s="75">
        <f>IF(ISBLANK(L21), "", L21+IF(ISNUMBER(P21), P21, 0))</f>
        <v/>
      </c>
    </row>
    <row r="22" ht="16.5" customHeight="1" s="59">
      <c r="A22" s="22" t="inlineStr">
        <is>
          <t>SBIN</t>
        </is>
      </c>
      <c r="B22" s="30" t="inlineStr">
        <is>
          <t>NSE</t>
        </is>
      </c>
      <c r="C22" s="22" t="inlineStr">
        <is>
          <t>Banking &amp; Finance</t>
        </is>
      </c>
      <c r="D22" s="24" t="n">
        <v>2</v>
      </c>
      <c r="E22" s="25" t="n">
        <v>816</v>
      </c>
      <c r="F22" s="26" t="n"/>
      <c r="G22" s="25" t="n">
        <v>981.95</v>
      </c>
      <c r="H22" s="24" t="n"/>
      <c r="I22" s="24" t="n"/>
      <c r="J22" s="76">
        <f>IFERROR(D22*E22,"")</f>
        <v/>
      </c>
      <c r="K22" s="76">
        <f>IFERROR(D22*G22,"")</f>
        <v/>
      </c>
      <c r="L22" s="76">
        <f>IFERROR(K22-J22,"")</f>
        <v/>
      </c>
      <c r="M22" s="77">
        <f>IFERROR((K22-J22)/J22,"")</f>
        <v/>
      </c>
      <c r="N22" s="77">
        <f>IFERROR(IF(F22="","",((G22/E22)^(365/MAX(1,TODAY()-F22))-1)),"")</f>
        <v/>
      </c>
      <c r="O22" s="77">
        <f>IFERROR(K22/SUM($K$4:$K$53),"")</f>
        <v/>
      </c>
      <c r="Q22" s="75">
        <f>IF(ISBLANK(F22), "", IF(TODAY()-F22&gt;365, "LTCG", "STCG"))</f>
        <v/>
      </c>
      <c r="R22" s="75">
        <f>IF(ISBLANK(L22), "", L22+IF(ISNUMBER(P22), P22, 0))</f>
        <v/>
      </c>
    </row>
    <row r="23" ht="16.5" customHeight="1" s="59">
      <c r="A23" s="29" t="inlineStr">
        <is>
          <t>SERVOTECH</t>
        </is>
      </c>
      <c r="B23" s="30" t="inlineStr">
        <is>
          <t>NSE</t>
        </is>
      </c>
      <c r="C23" s="29" t="inlineStr">
        <is>
          <t>Industrials</t>
        </is>
      </c>
      <c r="D23" s="31" t="n">
        <v>15</v>
      </c>
      <c r="E23" s="32" t="n">
        <v>78.14</v>
      </c>
      <c r="F23" s="33" t="n"/>
      <c r="G23" s="32" t="n">
        <v>99.67</v>
      </c>
      <c r="H23" s="31" t="n"/>
      <c r="I23" s="31" t="n"/>
      <c r="J23" s="78">
        <f>IFERROR(D23*E23,"")</f>
        <v/>
      </c>
      <c r="K23" s="78">
        <f>IFERROR(D23*G23,"")</f>
        <v/>
      </c>
      <c r="L23" s="78">
        <f>IFERROR(K23-J23,"")</f>
        <v/>
      </c>
      <c r="M23" s="79">
        <f>IFERROR((K23-J23)/J23,"")</f>
        <v/>
      </c>
      <c r="N23" s="79">
        <f>IFERROR(IF(F23="","",((G23/E23)^(365/MAX(1,TODAY()-F23))-1)),"")</f>
        <v/>
      </c>
      <c r="O23" s="79">
        <f>IFERROR(K23/SUM($K$4:$K$53),"")</f>
        <v/>
      </c>
      <c r="Q23" s="75">
        <f>IF(ISBLANK(F23), "", IF(TODAY()-F23&gt;365, "LTCG", "STCG"))</f>
        <v/>
      </c>
      <c r="R23" s="75">
        <f>IF(ISBLANK(L23), "", L23+IF(ISNUMBER(P23), P23, 0))</f>
        <v/>
      </c>
    </row>
    <row r="24" ht="16.5" customHeight="1" s="59">
      <c r="A24" s="22" t="inlineStr">
        <is>
          <t>TITAN</t>
        </is>
      </c>
      <c r="B24" s="30" t="inlineStr">
        <is>
          <t>NSE</t>
        </is>
      </c>
      <c r="C24" s="22" t="inlineStr">
        <is>
          <t>Consumer Discretionary</t>
        </is>
      </c>
      <c r="D24" s="24" t="n">
        <v>1</v>
      </c>
      <c r="E24" s="25" t="n">
        <v>2741.16</v>
      </c>
      <c r="F24" s="26" t="n"/>
      <c r="G24" s="25" t="n">
        <v>4192.4</v>
      </c>
      <c r="H24" s="24" t="n"/>
      <c r="I24" s="24" t="n"/>
      <c r="J24" s="76">
        <f>IFERROR(D24*E24,"")</f>
        <v/>
      </c>
      <c r="K24" s="76">
        <f>IFERROR(D24*G24,"")</f>
        <v/>
      </c>
      <c r="L24" s="76">
        <f>IFERROR(K24-J24,"")</f>
        <v/>
      </c>
      <c r="M24" s="77">
        <f>IFERROR((K24-J24)/J24,"")</f>
        <v/>
      </c>
      <c r="N24" s="77">
        <f>IFERROR(IF(F24="","",((G24/E24)^(365/MAX(1,TODAY()-F24))-1)),"")</f>
        <v/>
      </c>
      <c r="O24" s="77">
        <f>IFERROR(K24/SUM($K$4:$K$53),"")</f>
        <v/>
      </c>
      <c r="Q24" s="75">
        <f>IF(ISBLANK(F24), "", IF(TODAY()-F24&gt;365, "LTCG", "STCG"))</f>
        <v/>
      </c>
      <c r="R24" s="75">
        <f>IF(ISBLANK(L24), "", L24+IF(ISNUMBER(P24), P24, 0))</f>
        <v/>
      </c>
    </row>
    <row r="25" ht="16.5" customHeight="1" s="59">
      <c r="A25" s="22" t="inlineStr">
        <is>
          <t>VEDL</t>
        </is>
      </c>
      <c r="B25" s="30" t="inlineStr">
        <is>
          <t>NSE</t>
        </is>
      </c>
      <c r="C25" s="29" t="inlineStr">
        <is>
          <t>Materials</t>
        </is>
      </c>
      <c r="D25" s="31" t="n">
        <v>11</v>
      </c>
      <c r="E25" s="32" t="n">
        <v>230.35</v>
      </c>
      <c r="F25" s="33" t="n"/>
      <c r="G25" s="32" t="n">
        <v>304.25</v>
      </c>
      <c r="H25" s="31" t="n"/>
      <c r="I25" s="31" t="n"/>
      <c r="J25" s="78">
        <f>IFERROR(D25*E25,"")</f>
        <v/>
      </c>
      <c r="K25" s="78">
        <f>IFERROR(D25*G25,"")</f>
        <v/>
      </c>
      <c r="L25" s="78">
        <f>IFERROR(K25-J25,"")</f>
        <v/>
      </c>
      <c r="M25" s="79">
        <f>IFERROR((K25-J25)/J25,"")</f>
        <v/>
      </c>
      <c r="N25" s="79">
        <f>IFERROR(IF(F25="","",((G25/E25)^(365/MAX(1,TODAY()-F25))-1)),"")</f>
        <v/>
      </c>
      <c r="O25" s="79">
        <f>IFERROR(K25/SUM($K$4:$K$53),"")</f>
        <v/>
      </c>
      <c r="Q25" s="75">
        <f>IF(ISBLANK(F25), "", IF(TODAY()-F25&gt;365, "LTCG", "STCG"))</f>
        <v/>
      </c>
      <c r="R25" s="75">
        <f>IF(ISBLANK(L25), "", L25+IF(ISNUMBER(P25), P25, 0))</f>
        <v/>
      </c>
    </row>
    <row r="26" ht="16.5" customHeight="1" s="59">
      <c r="A26" s="29" t="inlineStr">
        <is>
          <t>VIVIDHA</t>
        </is>
      </c>
      <c r="B26" s="30" t="inlineStr">
        <is>
          <t>NSE</t>
        </is>
      </c>
      <c r="C26" s="22" t="inlineStr">
        <is>
          <t>Consumer Discretionary</t>
        </is>
      </c>
      <c r="D26" s="24" t="n">
        <v>1000</v>
      </c>
      <c r="E26" s="25" t="n">
        <v>1.56</v>
      </c>
      <c r="F26" s="26" t="n"/>
      <c r="G26" s="25" t="n">
        <v>0.55</v>
      </c>
      <c r="H26" s="24" t="n"/>
      <c r="I26" s="24" t="n"/>
      <c r="J26" s="76">
        <f>IFERROR(D26*E26,"")</f>
        <v/>
      </c>
      <c r="K26" s="76">
        <f>IFERROR(D26*G26,"")</f>
        <v/>
      </c>
      <c r="L26" s="76">
        <f>IFERROR(K26-J26,"")</f>
        <v/>
      </c>
      <c r="M26" s="77">
        <f>IFERROR((K26-J26)/J26,"")</f>
        <v/>
      </c>
      <c r="N26" s="77">
        <f>IFERROR(IF(F26="","",((G26/E26)^(365/MAX(1,TODAY()-F26))-1)),"")</f>
        <v/>
      </c>
      <c r="O26" s="77">
        <f>IFERROR(K26/SUM($K$4:$K$53),"")</f>
        <v/>
      </c>
      <c r="Q26" s="75">
        <f>IF(ISBLANK(F26), "", IF(TODAY()-F26&gt;365, "LTCG", "STCG"))</f>
        <v/>
      </c>
      <c r="R26" s="75">
        <f>IF(ISBLANK(L26), "", L26+IF(ISNUMBER(P26), P26, 0))</f>
        <v/>
      </c>
    </row>
    <row r="27" ht="16.5" customHeight="1" s="59">
      <c r="A27" s="22" t="n"/>
      <c r="B27" s="30" t="inlineStr">
        <is>
          <t>NSE/BSE</t>
        </is>
      </c>
      <c r="C27" s="29" t="n"/>
      <c r="D27" s="31" t="n"/>
      <c r="E27" s="32" t="n"/>
      <c r="F27" s="33" t="n"/>
      <c r="G27" s="32" t="n"/>
      <c r="H27" s="31" t="n"/>
      <c r="I27" s="31" t="n"/>
      <c r="J27" s="78">
        <f>IFERROR(D27*E27,"")</f>
        <v/>
      </c>
      <c r="K27" s="78">
        <f>IFERROR(D27*G27,"")</f>
        <v/>
      </c>
      <c r="L27" s="78">
        <f>IFERROR(K27-J27,"")</f>
        <v/>
      </c>
      <c r="M27" s="79">
        <f>IFERROR((K27-J27)/J27,"")</f>
        <v/>
      </c>
      <c r="N27" s="79">
        <f>IFERROR(IF(F27="","",((G27/E27)^(365/MAX(1,TODAY()-F27))-1)),"")</f>
        <v/>
      </c>
      <c r="O27" s="79">
        <f>IFERROR(K27/SUM($K$4:$K$53),"")</f>
        <v/>
      </c>
      <c r="Q27" s="75">
        <f>IF(ISBLANK(F27), "", IF(TODAY()-F27&gt;365, "LTCG", "STCG"))</f>
        <v/>
      </c>
      <c r="R27" s="75">
        <f>IF(ISBLANK(L27), "", L27+IF(ISNUMBER(P27), P27, 0))</f>
        <v/>
      </c>
    </row>
    <row r="28" ht="16.5" customHeight="1" s="59">
      <c r="A28" s="29" t="n"/>
      <c r="B28" s="30" t="inlineStr">
        <is>
          <t>NSE/BSE</t>
        </is>
      </c>
      <c r="C28" s="22" t="n"/>
      <c r="D28" s="24" t="n"/>
      <c r="E28" s="25" t="n"/>
      <c r="F28" s="26" t="n"/>
      <c r="G28" s="25" t="n"/>
      <c r="H28" s="24" t="n"/>
      <c r="I28" s="24" t="n"/>
      <c r="J28" s="76">
        <f>IFERROR(D28*E28,"")</f>
        <v/>
      </c>
      <c r="K28" s="76">
        <f>IFERROR(D28*G28,"")</f>
        <v/>
      </c>
      <c r="L28" s="76">
        <f>IFERROR(K28-J28,"")</f>
        <v/>
      </c>
      <c r="M28" s="77">
        <f>IFERROR((K28-J28)/J28,"")</f>
        <v/>
      </c>
      <c r="N28" s="77">
        <f>IFERROR(IF(F28="","",((G28/E28)^(365/MAX(1,TODAY()-F28))-1)),"")</f>
        <v/>
      </c>
      <c r="O28" s="77">
        <f>IFERROR(K28/SUM($K$4:$K$53),"")</f>
        <v/>
      </c>
      <c r="Q28" s="75">
        <f>IF(ISBLANK(F28), "", IF(TODAY()-F28&gt;365, "LTCG", "STCG"))</f>
        <v/>
      </c>
      <c r="R28" s="75">
        <f>IF(ISBLANK(L28), "", L28+IF(ISNUMBER(P28), P28, 0))</f>
        <v/>
      </c>
    </row>
    <row r="29" ht="16.5" customHeight="1" s="59">
      <c r="A29" s="22" t="n"/>
      <c r="B29" s="30" t="inlineStr">
        <is>
          <t>NSE/BSE</t>
        </is>
      </c>
      <c r="C29" s="29" t="n"/>
      <c r="D29" s="31" t="n"/>
      <c r="E29" s="32" t="n"/>
      <c r="F29" s="33" t="n"/>
      <c r="G29" s="32" t="n"/>
      <c r="H29" s="31" t="n"/>
      <c r="I29" s="31" t="n"/>
      <c r="J29" s="78">
        <f>IFERROR(D29*E29,"")</f>
        <v/>
      </c>
      <c r="K29" s="78">
        <f>IFERROR(D29*G29,"")</f>
        <v/>
      </c>
      <c r="L29" s="78">
        <f>IFERROR(K29-J29,"")</f>
        <v/>
      </c>
      <c r="M29" s="79">
        <f>IFERROR((K29-J29)/J29,"")</f>
        <v/>
      </c>
      <c r="N29" s="79">
        <f>IFERROR(IF(F29="","",((G29/E29)^(365/MAX(1,TODAY()-F29))-1)),"")</f>
        <v/>
      </c>
      <c r="O29" s="79">
        <f>IFERROR(K29/SUM($K$4:$K$53),"")</f>
        <v/>
      </c>
      <c r="Q29" s="75">
        <f>IF(ISBLANK(F29), "", IF(TODAY()-F29&gt;365, "LTCG", "STCG"))</f>
        <v/>
      </c>
      <c r="R29" s="75">
        <f>IF(ISBLANK(L29), "", L29+IF(ISNUMBER(P29), P29, 0))</f>
        <v/>
      </c>
    </row>
    <row r="30" ht="16.5" customHeight="1" s="59">
      <c r="A30" s="29" t="n"/>
      <c r="B30" s="30" t="inlineStr">
        <is>
          <t>NSE/BSE</t>
        </is>
      </c>
      <c r="C30" s="22" t="n"/>
      <c r="D30" s="24" t="n"/>
      <c r="E30" s="25" t="n"/>
      <c r="F30" s="26" t="n"/>
      <c r="G30" s="25" t="n"/>
      <c r="H30" s="24" t="n"/>
      <c r="I30" s="24" t="n"/>
      <c r="J30" s="76">
        <f>IFERROR(D30*E30,"")</f>
        <v/>
      </c>
      <c r="K30" s="76">
        <f>IFERROR(D30*G30,"")</f>
        <v/>
      </c>
      <c r="L30" s="76">
        <f>IFERROR(K30-J30,"")</f>
        <v/>
      </c>
      <c r="M30" s="77">
        <f>IFERROR((K30-J30)/J30,"")</f>
        <v/>
      </c>
      <c r="N30" s="77">
        <f>IFERROR(IF(F30="","",((G30/E30)^(365/MAX(1,TODAY()-F30))-1)),"")</f>
        <v/>
      </c>
      <c r="O30" s="77">
        <f>IFERROR(K30/SUM($K$4:$K$53),"")</f>
        <v/>
      </c>
      <c r="Q30" s="75">
        <f>IF(ISBLANK(F30), "", IF(TODAY()-F30&gt;365, "LTCG", "STCG"))</f>
        <v/>
      </c>
      <c r="R30" s="75">
        <f>IF(ISBLANK(L30), "", L30+IF(ISNUMBER(P30), P30, 0))</f>
        <v/>
      </c>
    </row>
    <row r="31" ht="16.5" customHeight="1" s="59">
      <c r="A31" s="22" t="n"/>
      <c r="B31" s="30" t="inlineStr">
        <is>
          <t>NSE/BSE</t>
        </is>
      </c>
      <c r="C31" s="29" t="n"/>
      <c r="D31" s="31" t="n"/>
      <c r="E31" s="32" t="n"/>
      <c r="F31" s="33" t="n"/>
      <c r="G31" s="32" t="n"/>
      <c r="H31" s="31" t="n"/>
      <c r="I31" s="31" t="n"/>
      <c r="J31" s="78">
        <f>IFERROR(D31*E31,"")</f>
        <v/>
      </c>
      <c r="K31" s="78">
        <f>IFERROR(D31*G31,"")</f>
        <v/>
      </c>
      <c r="L31" s="78">
        <f>IFERROR(K31-J31,"")</f>
        <v/>
      </c>
      <c r="M31" s="79">
        <f>IFERROR((K31-J31)/J31,"")</f>
        <v/>
      </c>
      <c r="N31" s="79">
        <f>IFERROR(IF(F31="","",((G31/E31)^(365/MAX(1,TODAY()-F31))-1)),"")</f>
        <v/>
      </c>
      <c r="O31" s="79">
        <f>IFERROR(K31/SUM($K$4:$K$53),"")</f>
        <v/>
      </c>
      <c r="Q31" s="75">
        <f>IF(ISBLANK(F31), "", IF(TODAY()-F31&gt;365, "LTCG", "STCG"))</f>
        <v/>
      </c>
      <c r="R31" s="75">
        <f>IF(ISBLANK(L31), "", L31+IF(ISNUMBER(P31), P31, 0))</f>
        <v/>
      </c>
    </row>
    <row r="32" ht="16.5" customHeight="1" s="59">
      <c r="A32" s="22" t="n"/>
      <c r="B32" s="30" t="inlineStr">
        <is>
          <t>NSE/BSE</t>
        </is>
      </c>
      <c r="C32" s="22" t="n"/>
      <c r="D32" s="24" t="n"/>
      <c r="E32" s="25" t="n"/>
      <c r="F32" s="26" t="n"/>
      <c r="G32" s="25" t="n"/>
      <c r="H32" s="24" t="n"/>
      <c r="I32" s="24" t="n"/>
      <c r="J32" s="76">
        <f>IFERROR(D32*E32,"")</f>
        <v/>
      </c>
      <c r="K32" s="76">
        <f>IFERROR(D32*G32,"")</f>
        <v/>
      </c>
      <c r="L32" s="76">
        <f>IFERROR(K32-J32,"")</f>
        <v/>
      </c>
      <c r="M32" s="77">
        <f>IFERROR((K32-J32)/J32,"")</f>
        <v/>
      </c>
      <c r="N32" s="77">
        <f>IFERROR(IF(F32="","",((G32/E32)^(365/MAX(1,TODAY()-F32))-1)),"")</f>
        <v/>
      </c>
      <c r="O32" s="77">
        <f>IFERROR(K32/SUM($K$4:$K$53),"")</f>
        <v/>
      </c>
      <c r="Q32" s="75">
        <f>IF(ISBLANK(F32), "", IF(TODAY()-F32&gt;365, "LTCG", "STCG"))</f>
        <v/>
      </c>
      <c r="R32" s="75">
        <f>IF(ISBLANK(L32), "", L32+IF(ISNUMBER(P32), P32, 0))</f>
        <v/>
      </c>
    </row>
    <row r="33" ht="16.5" customHeight="1" s="59">
      <c r="A33" s="29" t="n"/>
      <c r="B33" s="30" t="inlineStr">
        <is>
          <t>NSE/BSE</t>
        </is>
      </c>
      <c r="C33" s="29" t="n"/>
      <c r="D33" s="31" t="n"/>
      <c r="E33" s="32" t="n"/>
      <c r="F33" s="33" t="n"/>
      <c r="G33" s="32" t="n"/>
      <c r="H33" s="31" t="n"/>
      <c r="I33" s="31" t="n"/>
      <c r="J33" s="78">
        <f>IFERROR(D33*E33,"")</f>
        <v/>
      </c>
      <c r="K33" s="78">
        <f>IFERROR(D33*G33,"")</f>
        <v/>
      </c>
      <c r="L33" s="78">
        <f>IFERROR(K33-J33,"")</f>
        <v/>
      </c>
      <c r="M33" s="79">
        <f>IFERROR((K33-J33)/J33,"")</f>
        <v/>
      </c>
      <c r="N33" s="79">
        <f>IFERROR(IF(F33="","",((G33/E33)^(365/MAX(1,TODAY()-F33))-1)),"")</f>
        <v/>
      </c>
      <c r="O33" s="79">
        <f>IFERROR(K33/SUM($K$4:$K$53),"")</f>
        <v/>
      </c>
      <c r="Q33" s="75">
        <f>IF(ISBLANK(F33), "", IF(TODAY()-F33&gt;365, "LTCG", "STCG"))</f>
        <v/>
      </c>
      <c r="R33" s="75">
        <f>IF(ISBLANK(L33), "", L33+IF(ISNUMBER(P33), P33, 0))</f>
        <v/>
      </c>
    </row>
    <row r="34" ht="16.5" customHeight="1" s="59">
      <c r="A34" s="22" t="n"/>
      <c r="B34" s="30" t="inlineStr">
        <is>
          <t>NSE/BSE</t>
        </is>
      </c>
      <c r="C34" s="22" t="n"/>
      <c r="D34" s="24" t="n"/>
      <c r="E34" s="25" t="n"/>
      <c r="F34" s="26" t="n"/>
      <c r="G34" s="25" t="n"/>
      <c r="H34" s="24" t="n"/>
      <c r="I34" s="24" t="n"/>
      <c r="J34" s="76">
        <f>IFERROR(D34*E34,"")</f>
        <v/>
      </c>
      <c r="K34" s="76">
        <f>IFERROR(D34*G34,"")</f>
        <v/>
      </c>
      <c r="L34" s="76">
        <f>IFERROR(K34-J34,"")</f>
        <v/>
      </c>
      <c r="M34" s="77">
        <f>IFERROR((K34-J34)/J34,"")</f>
        <v/>
      </c>
      <c r="N34" s="77">
        <f>IFERROR(IF(F34="","",((G34/E34)^(365/MAX(1,TODAY()-F34))-1)),"")</f>
        <v/>
      </c>
      <c r="O34" s="77">
        <f>IFERROR(K34/SUM($K$4:$K$53),"")</f>
        <v/>
      </c>
      <c r="Q34" s="75">
        <f>IF(ISBLANK(F34), "", IF(TODAY()-F34&gt;365, "LTCG", "STCG"))</f>
        <v/>
      </c>
      <c r="R34" s="75">
        <f>IF(ISBLANK(L34), "", L34+IF(ISNUMBER(P34), P34, 0))</f>
        <v/>
      </c>
    </row>
    <row r="35" ht="16.5" customHeight="1" s="59">
      <c r="A35" s="29" t="n"/>
      <c r="B35" s="30" t="inlineStr">
        <is>
          <t>NSE/BSE</t>
        </is>
      </c>
      <c r="C35" s="29" t="n"/>
      <c r="D35" s="31" t="n"/>
      <c r="E35" s="32" t="n"/>
      <c r="F35" s="33" t="n"/>
      <c r="G35" s="32" t="n"/>
      <c r="H35" s="31" t="n"/>
      <c r="I35" s="31" t="n"/>
      <c r="J35" s="78">
        <f>IFERROR(D35*E35,"")</f>
        <v/>
      </c>
      <c r="K35" s="78">
        <f>IFERROR(D35*G35,"")</f>
        <v/>
      </c>
      <c r="L35" s="78">
        <f>IFERROR(K35-J35,"")</f>
        <v/>
      </c>
      <c r="M35" s="79">
        <f>IFERROR((K35-J35)/J35,"")</f>
        <v/>
      </c>
      <c r="N35" s="79">
        <f>IFERROR(IF(F35="","",((G35/E35)^(365/MAX(1,TODAY()-F35))-1)),"")</f>
        <v/>
      </c>
      <c r="O35" s="79">
        <f>IFERROR(K35/SUM($K$4:$K$53),"")</f>
        <v/>
      </c>
      <c r="Q35" s="75">
        <f>IF(ISBLANK(F35), "", IF(TODAY()-F35&gt;365, "LTCG", "STCG"))</f>
        <v/>
      </c>
      <c r="R35" s="75">
        <f>IF(ISBLANK(L35), "", L35+IF(ISNUMBER(P35), P35, 0))</f>
        <v/>
      </c>
    </row>
    <row r="36" ht="16.5" customHeight="1" s="59">
      <c r="A36" s="22" t="n"/>
      <c r="B36" s="30" t="inlineStr">
        <is>
          <t>NSE/BSE</t>
        </is>
      </c>
      <c r="C36" s="22" t="n"/>
      <c r="D36" s="24" t="n"/>
      <c r="E36" s="25" t="n"/>
      <c r="F36" s="26" t="n"/>
      <c r="G36" s="25" t="n"/>
      <c r="H36" s="24" t="n"/>
      <c r="I36" s="24" t="n"/>
      <c r="J36" s="76">
        <f>IFERROR(D36*E36,"")</f>
        <v/>
      </c>
      <c r="K36" s="76">
        <f>IFERROR(D36*G36,"")</f>
        <v/>
      </c>
      <c r="L36" s="76">
        <f>IFERROR(K36-J36,"")</f>
        <v/>
      </c>
      <c r="M36" s="77">
        <f>IFERROR((K36-J36)/J36,"")</f>
        <v/>
      </c>
      <c r="N36" s="77">
        <f>IFERROR(IF(F36="","",((G36/E36)^(365/MAX(1,TODAY()-F36))-1)),"")</f>
        <v/>
      </c>
      <c r="O36" s="77">
        <f>IFERROR(K36/SUM($K$4:$K$53),"")</f>
        <v/>
      </c>
      <c r="Q36" s="75">
        <f>IF(ISBLANK(F36), "", IF(TODAY()-F36&gt;365, "LTCG", "STCG"))</f>
        <v/>
      </c>
      <c r="R36" s="75">
        <f>IF(ISBLANK(L36), "", L36+IF(ISNUMBER(P36), P36, 0))</f>
        <v/>
      </c>
    </row>
    <row r="37" ht="16.5" customHeight="1" s="59">
      <c r="A37" s="29" t="n"/>
      <c r="B37" s="30" t="inlineStr">
        <is>
          <t>NSE/BSE</t>
        </is>
      </c>
      <c r="C37" s="29" t="n"/>
      <c r="D37" s="31" t="n"/>
      <c r="E37" s="32" t="n"/>
      <c r="F37" s="33" t="n"/>
      <c r="G37" s="32" t="n"/>
      <c r="H37" s="31" t="n"/>
      <c r="I37" s="31" t="n"/>
      <c r="J37" s="78">
        <f>IFERROR(D37*E37,"")</f>
        <v/>
      </c>
      <c r="K37" s="78">
        <f>IFERROR(D37*G37,"")</f>
        <v/>
      </c>
      <c r="L37" s="78">
        <f>IFERROR(K37-J37,"")</f>
        <v/>
      </c>
      <c r="M37" s="79">
        <f>IFERROR((K37-J37)/J37,"")</f>
        <v/>
      </c>
      <c r="N37" s="79">
        <f>IFERROR(IF(F37="","",((G37/E37)^(365/MAX(1,TODAY()-F37))-1)),"")</f>
        <v/>
      </c>
      <c r="O37" s="79">
        <f>IFERROR(K37/SUM($K$4:$K$53),"")</f>
        <v/>
      </c>
      <c r="Q37" s="75">
        <f>IF(ISBLANK(F37), "", IF(TODAY()-F37&gt;365, "LTCG", "STCG"))</f>
        <v/>
      </c>
      <c r="R37" s="75">
        <f>IF(ISBLANK(L37), "", L37+IF(ISNUMBER(P37), P37, 0))</f>
        <v/>
      </c>
    </row>
    <row r="38" ht="16.5" customHeight="1" s="59">
      <c r="A38" s="22" t="n"/>
      <c r="B38" s="30" t="inlineStr">
        <is>
          <t>NSE/BSE</t>
        </is>
      </c>
      <c r="C38" s="22" t="n"/>
      <c r="D38" s="24" t="n"/>
      <c r="E38" s="25" t="n"/>
      <c r="F38" s="26" t="n"/>
      <c r="G38" s="25" t="n"/>
      <c r="H38" s="24" t="n"/>
      <c r="I38" s="24" t="n"/>
      <c r="J38" s="76">
        <f>IFERROR(D38*E38,"")</f>
        <v/>
      </c>
      <c r="K38" s="76">
        <f>IFERROR(D38*G38,"")</f>
        <v/>
      </c>
      <c r="L38" s="76">
        <f>IFERROR(K38-J38,"")</f>
        <v/>
      </c>
      <c r="M38" s="77">
        <f>IFERROR((K38-J38)/J38,"")</f>
        <v/>
      </c>
      <c r="N38" s="77">
        <f>IFERROR(IF(F38="","",((G38/E38)^(365/MAX(1,TODAY()-F38))-1)),"")</f>
        <v/>
      </c>
      <c r="O38" s="77">
        <f>IFERROR(K38/SUM($K$4:$K$53),"")</f>
        <v/>
      </c>
      <c r="Q38" s="75">
        <f>IF(ISBLANK(F38), "", IF(TODAY()-F38&gt;365, "LTCG", "STCG"))</f>
        <v/>
      </c>
      <c r="R38" s="75">
        <f>IF(ISBLANK(L38), "", L38+IF(ISNUMBER(P38), P38, 0))</f>
        <v/>
      </c>
    </row>
    <row r="39" ht="16.5" customHeight="1" s="59">
      <c r="A39" s="29" t="n"/>
      <c r="B39" s="30" t="inlineStr">
        <is>
          <t>NSE/BSE</t>
        </is>
      </c>
      <c r="C39" s="29" t="n"/>
      <c r="D39" s="31" t="n"/>
      <c r="E39" s="32" t="n"/>
      <c r="F39" s="33" t="n"/>
      <c r="G39" s="32" t="n"/>
      <c r="H39" s="31" t="n"/>
      <c r="I39" s="31" t="n"/>
      <c r="J39" s="78">
        <f>IFERROR(D39*E39,"")</f>
        <v/>
      </c>
      <c r="K39" s="78">
        <f>IFERROR(D39*G39,"")</f>
        <v/>
      </c>
      <c r="L39" s="78">
        <f>IFERROR(K39-J39,"")</f>
        <v/>
      </c>
      <c r="M39" s="79">
        <f>IFERROR((K39-J39)/J39,"")</f>
        <v/>
      </c>
      <c r="N39" s="79">
        <f>IFERROR(IF(F39="","",((G39/E39)^(365/MAX(1,TODAY()-F39))-1)),"")</f>
        <v/>
      </c>
      <c r="O39" s="79">
        <f>IFERROR(K39/SUM($K$4:$K$53),"")</f>
        <v/>
      </c>
      <c r="Q39" s="75">
        <f>IF(ISBLANK(F39), "", IF(TODAY()-F39&gt;365, "LTCG", "STCG"))</f>
        <v/>
      </c>
      <c r="R39" s="75">
        <f>IF(ISBLANK(L39), "", L39+IF(ISNUMBER(P39), P39, 0))</f>
        <v/>
      </c>
    </row>
    <row r="40" ht="16.5" customHeight="1" s="59">
      <c r="A40" s="36" t="n"/>
      <c r="B40" s="24" t="n"/>
      <c r="C40" s="22" t="n"/>
      <c r="D40" s="24" t="n"/>
      <c r="E40" s="25" t="n"/>
      <c r="F40" s="26" t="n"/>
      <c r="G40" s="25" t="n"/>
      <c r="H40" s="24" t="n"/>
      <c r="I40" s="24" t="n"/>
      <c r="J40" s="76">
        <f>IFERROR(D40*E40,"")</f>
        <v/>
      </c>
      <c r="K40" s="76">
        <f>IFERROR(D40*G40,"")</f>
        <v/>
      </c>
      <c r="L40" s="76">
        <f>IFERROR(K40-J40,"")</f>
        <v/>
      </c>
      <c r="M40" s="77">
        <f>IFERROR((K40-J40)/J40,"")</f>
        <v/>
      </c>
      <c r="N40" s="77">
        <f>IFERROR(IF(F40="","",((G40/E40)^(365/MAX(1,TODAY()-F40))-1)),"")</f>
        <v/>
      </c>
      <c r="O40" s="77">
        <f>IFERROR(K40/SUM($K$4:$K$53),"")</f>
        <v/>
      </c>
      <c r="Q40" s="75">
        <f>IF(ISBLANK(F40), "", IF(TODAY()-F40&gt;365, "LTCG", "STCG"))</f>
        <v/>
      </c>
      <c r="R40" s="75">
        <f>IF(ISBLANK(L40), "", L40+IF(ISNUMBER(P40), P40, 0))</f>
        <v/>
      </c>
    </row>
    <row r="41" ht="16.5" customHeight="1" s="59">
      <c r="A41" s="29" t="n"/>
      <c r="B41" s="31" t="n"/>
      <c r="C41" s="29" t="n"/>
      <c r="D41" s="31" t="n"/>
      <c r="E41" s="32" t="n"/>
      <c r="F41" s="33" t="n"/>
      <c r="G41" s="32" t="n"/>
      <c r="H41" s="31" t="n"/>
      <c r="I41" s="31" t="n"/>
      <c r="J41" s="78">
        <f>IFERROR(D41*E41,"")</f>
        <v/>
      </c>
      <c r="K41" s="78">
        <f>IFERROR(D41*G41,"")</f>
        <v/>
      </c>
      <c r="L41" s="78">
        <f>IFERROR(K41-J41,"")</f>
        <v/>
      </c>
      <c r="M41" s="79">
        <f>IFERROR((K41-J41)/J41,"")</f>
        <v/>
      </c>
      <c r="N41" s="79">
        <f>IFERROR(IF(F41="","",((G41/E41)^(365/MAX(1,TODAY()-F41))-1)),"")</f>
        <v/>
      </c>
      <c r="O41" s="79">
        <f>IFERROR(K41/SUM($K$4:$K$53),"")</f>
        <v/>
      </c>
      <c r="Q41" s="75">
        <f>IF(ISBLANK(F41), "", IF(TODAY()-F41&gt;365, "LTCG", "STCG"))</f>
        <v/>
      </c>
      <c r="R41" s="75">
        <f>IF(ISBLANK(L41), "", L41+IF(ISNUMBER(P41), P41, 0))</f>
        <v/>
      </c>
    </row>
    <row r="42" ht="16.5" customHeight="1" s="59">
      <c r="A42" s="22" t="n"/>
      <c r="B42" s="24" t="n"/>
      <c r="C42" s="22" t="n"/>
      <c r="D42" s="24" t="n"/>
      <c r="E42" s="25" t="n"/>
      <c r="F42" s="26" t="n"/>
      <c r="G42" s="25" t="n"/>
      <c r="H42" s="24" t="n"/>
      <c r="I42" s="24" t="n"/>
      <c r="J42" s="76">
        <f>IFERROR(D42*E42,"")</f>
        <v/>
      </c>
      <c r="K42" s="76">
        <f>IFERROR(D42*G42,"")</f>
        <v/>
      </c>
      <c r="L42" s="76">
        <f>IFERROR(K42-J42,"")</f>
        <v/>
      </c>
      <c r="M42" s="77">
        <f>IFERROR((K42-J42)/J42,"")</f>
        <v/>
      </c>
      <c r="N42" s="77">
        <f>IFERROR(IF(F42="","",((G42/E42)^(365/MAX(1,TODAY()-F42))-1)),"")</f>
        <v/>
      </c>
      <c r="O42" s="77">
        <f>IFERROR(K42/SUM($K$4:$K$53),"")</f>
        <v/>
      </c>
      <c r="Q42" s="75">
        <f>IF(ISBLANK(F42), "", IF(TODAY()-F42&gt;365, "LTCG", "STCG"))</f>
        <v/>
      </c>
      <c r="R42" s="75">
        <f>IF(ISBLANK(L42), "", L42+IF(ISNUMBER(P42), P42, 0))</f>
        <v/>
      </c>
    </row>
    <row r="43" ht="16.5" customHeight="1" s="59">
      <c r="A43" s="29" t="n"/>
      <c r="B43" s="31" t="n"/>
      <c r="C43" s="29" t="n"/>
      <c r="D43" s="31" t="n"/>
      <c r="E43" s="32" t="n"/>
      <c r="F43" s="33" t="n"/>
      <c r="G43" s="32" t="n"/>
      <c r="H43" s="31" t="n"/>
      <c r="I43" s="31" t="n"/>
      <c r="J43" s="78">
        <f>IFERROR(D43*E43,"")</f>
        <v/>
      </c>
      <c r="K43" s="78">
        <f>IFERROR(D43*G43,"")</f>
        <v/>
      </c>
      <c r="L43" s="78">
        <f>IFERROR(K43-J43,"")</f>
        <v/>
      </c>
      <c r="M43" s="79">
        <f>IFERROR((K43-J43)/J43,"")</f>
        <v/>
      </c>
      <c r="N43" s="79">
        <f>IFERROR(IF(F43="","",((G43/E43)^(365/MAX(1,TODAY()-F43))-1)),"")</f>
        <v/>
      </c>
      <c r="O43" s="79">
        <f>IFERROR(K43/SUM($K$4:$K$53),"")</f>
        <v/>
      </c>
      <c r="Q43" s="75">
        <f>IF(ISBLANK(F43), "", IF(TODAY()-F43&gt;365, "LTCG", "STCG"))</f>
        <v/>
      </c>
      <c r="R43" s="75">
        <f>IF(ISBLANK(L43), "", L43+IF(ISNUMBER(P43), P43, 0))</f>
        <v/>
      </c>
    </row>
    <row r="44" ht="16.5" customHeight="1" s="59">
      <c r="A44" s="22" t="n"/>
      <c r="B44" s="24" t="n"/>
      <c r="C44" s="22" t="n"/>
      <c r="D44" s="24" t="n"/>
      <c r="E44" s="25" t="n"/>
      <c r="F44" s="26" t="n"/>
      <c r="G44" s="25" t="n"/>
      <c r="H44" s="24" t="n"/>
      <c r="I44" s="24" t="n"/>
      <c r="J44" s="76">
        <f>IFERROR(D44*E44,"")</f>
        <v/>
      </c>
      <c r="K44" s="76">
        <f>IFERROR(D44*G44,"")</f>
        <v/>
      </c>
      <c r="L44" s="76">
        <f>IFERROR(K44-J44,"")</f>
        <v/>
      </c>
      <c r="M44" s="77">
        <f>IFERROR((K44-J44)/J44,"")</f>
        <v/>
      </c>
      <c r="N44" s="77">
        <f>IFERROR(IF(F44="","",((G44/E44)^(365/MAX(1,TODAY()-F44))-1)),"")</f>
        <v/>
      </c>
      <c r="O44" s="77">
        <f>IFERROR(K44/SUM($K$4:$K$53),"")</f>
        <v/>
      </c>
      <c r="Q44" s="75">
        <f>IF(ISBLANK(F44), "", IF(TODAY()-F44&gt;365, "LTCG", "STCG"))</f>
        <v/>
      </c>
      <c r="R44" s="75">
        <f>IF(ISBLANK(L44), "", L44+IF(ISNUMBER(P44), P44, 0))</f>
        <v/>
      </c>
    </row>
    <row r="45" ht="16.5" customHeight="1" s="59">
      <c r="A45" s="29" t="n"/>
      <c r="B45" s="31" t="n"/>
      <c r="C45" s="29" t="n"/>
      <c r="D45" s="31" t="n"/>
      <c r="E45" s="32" t="n"/>
      <c r="F45" s="33" t="n"/>
      <c r="G45" s="32" t="n"/>
      <c r="H45" s="31" t="n"/>
      <c r="I45" s="31" t="n"/>
      <c r="J45" s="78">
        <f>IFERROR(D45*E45,"")</f>
        <v/>
      </c>
      <c r="K45" s="78">
        <f>IFERROR(D45*G45,"")</f>
        <v/>
      </c>
      <c r="L45" s="78">
        <f>IFERROR(K45-J45,"")</f>
        <v/>
      </c>
      <c r="M45" s="79">
        <f>IFERROR((K45-J45)/J45,"")</f>
        <v/>
      </c>
      <c r="N45" s="79">
        <f>IFERROR(IF(F45="","",((G45/E45)^(365/MAX(1,TODAY()-F45))-1)),"")</f>
        <v/>
      </c>
      <c r="O45" s="79">
        <f>IFERROR(K45/SUM($K$4:$K$53),"")</f>
        <v/>
      </c>
      <c r="Q45" s="75">
        <f>IF(ISBLANK(F45), "", IF(TODAY()-F45&gt;365, "LTCG", "STCG"))</f>
        <v/>
      </c>
      <c r="R45" s="75">
        <f>IF(ISBLANK(L45), "", L45+IF(ISNUMBER(P45), P45, 0))</f>
        <v/>
      </c>
    </row>
    <row r="46" ht="16.5" customHeight="1" s="59">
      <c r="A46" s="22" t="n"/>
      <c r="B46" s="24" t="n"/>
      <c r="C46" s="22" t="n"/>
      <c r="D46" s="24" t="n"/>
      <c r="E46" s="25" t="n"/>
      <c r="F46" s="26" t="n"/>
      <c r="G46" s="25" t="n"/>
      <c r="H46" s="24" t="n"/>
      <c r="I46" s="24" t="n"/>
      <c r="J46" s="76">
        <f>IFERROR(D46*E46,"")</f>
        <v/>
      </c>
      <c r="K46" s="76">
        <f>IFERROR(D46*G46,"")</f>
        <v/>
      </c>
      <c r="L46" s="76">
        <f>IFERROR(K46-J46,"")</f>
        <v/>
      </c>
      <c r="M46" s="77">
        <f>IFERROR((K46-J46)/J46,"")</f>
        <v/>
      </c>
      <c r="N46" s="77">
        <f>IFERROR(IF(F46="","",((G46/E46)^(365/MAX(1,TODAY()-F46))-1)),"")</f>
        <v/>
      </c>
      <c r="O46" s="77">
        <f>IFERROR(K46/SUM($K$4:$K$53),"")</f>
        <v/>
      </c>
      <c r="Q46" s="75">
        <f>IF(ISBLANK(F46), "", IF(TODAY()-F46&gt;365, "LTCG", "STCG"))</f>
        <v/>
      </c>
      <c r="R46" s="75">
        <f>IF(ISBLANK(L46), "", L46+IF(ISNUMBER(P46), P46, 0))</f>
        <v/>
      </c>
    </row>
    <row r="47" ht="16.5" customHeight="1" s="59">
      <c r="A47" s="29" t="n"/>
      <c r="B47" s="31" t="n"/>
      <c r="C47" s="29" t="n"/>
      <c r="D47" s="31" t="n"/>
      <c r="E47" s="32" t="n"/>
      <c r="F47" s="33" t="n"/>
      <c r="G47" s="32" t="n"/>
      <c r="H47" s="31" t="n"/>
      <c r="I47" s="31" t="n"/>
      <c r="J47" s="78">
        <f>IFERROR(D47*E47,"")</f>
        <v/>
      </c>
      <c r="K47" s="78">
        <f>IFERROR(D47*G47,"")</f>
        <v/>
      </c>
      <c r="L47" s="78">
        <f>IFERROR(K47-J47,"")</f>
        <v/>
      </c>
      <c r="M47" s="79">
        <f>IFERROR((K47-J47)/J47,"")</f>
        <v/>
      </c>
      <c r="N47" s="79">
        <f>IFERROR(IF(F47="","",((G47/E47)^(365/MAX(1,TODAY()-F47))-1)),"")</f>
        <v/>
      </c>
      <c r="O47" s="79">
        <f>IFERROR(K47/SUM($K$4:$K$53),"")</f>
        <v/>
      </c>
      <c r="Q47" s="75">
        <f>IF(ISBLANK(F47), "", IF(TODAY()-F47&gt;365, "LTCG", "STCG"))</f>
        <v/>
      </c>
      <c r="R47" s="75">
        <f>IF(ISBLANK(L47), "", L47+IF(ISNUMBER(P47), P47, 0))</f>
        <v/>
      </c>
    </row>
    <row r="48" ht="16.5" customHeight="1" s="59">
      <c r="A48" s="22" t="n"/>
      <c r="B48" s="24" t="n"/>
      <c r="C48" s="22" t="n"/>
      <c r="D48" s="24" t="n"/>
      <c r="E48" s="25" t="n"/>
      <c r="F48" s="26" t="n"/>
      <c r="G48" s="25" t="n"/>
      <c r="H48" s="24" t="n"/>
      <c r="I48" s="24" t="n"/>
      <c r="J48" s="76">
        <f>IFERROR(D48*E48,"")</f>
        <v/>
      </c>
      <c r="K48" s="76">
        <f>IFERROR(D48*G48,"")</f>
        <v/>
      </c>
      <c r="L48" s="76">
        <f>IFERROR(K48-J48,"")</f>
        <v/>
      </c>
      <c r="M48" s="77">
        <f>IFERROR((K48-J48)/J48,"")</f>
        <v/>
      </c>
      <c r="N48" s="77">
        <f>IFERROR(IF(F48="","",((G48/E48)^(365/MAX(1,TODAY()-F48))-1)),"")</f>
        <v/>
      </c>
      <c r="O48" s="77">
        <f>IFERROR(K48/SUM($K$4:$K$53),"")</f>
        <v/>
      </c>
      <c r="Q48" s="75">
        <f>IF(ISBLANK(F48), "", IF(TODAY()-F48&gt;365, "LTCG", "STCG"))</f>
        <v/>
      </c>
      <c r="R48" s="75">
        <f>IF(ISBLANK(L48), "", L48+IF(ISNUMBER(P48), P48, 0))</f>
        <v/>
      </c>
    </row>
    <row r="49" ht="16.5" customHeight="1" s="59">
      <c r="A49" s="29" t="n"/>
      <c r="B49" s="31" t="n"/>
      <c r="C49" s="29" t="n"/>
      <c r="D49" s="31" t="n"/>
      <c r="E49" s="32" t="n"/>
      <c r="F49" s="33" t="n"/>
      <c r="G49" s="32" t="n"/>
      <c r="H49" s="31" t="n"/>
      <c r="I49" s="31" t="n"/>
      <c r="J49" s="78">
        <f>IFERROR(D49*E49,"")</f>
        <v/>
      </c>
      <c r="K49" s="78">
        <f>IFERROR(D49*G49,"")</f>
        <v/>
      </c>
      <c r="L49" s="78">
        <f>IFERROR(K49-J49,"")</f>
        <v/>
      </c>
      <c r="M49" s="79">
        <f>IFERROR((K49-J49)/J49,"")</f>
        <v/>
      </c>
      <c r="N49" s="79">
        <f>IFERROR(IF(F49="","",((G49/E49)^(365/MAX(1,TODAY()-F49))-1)),"")</f>
        <v/>
      </c>
      <c r="O49" s="79">
        <f>IFERROR(K49/SUM($K$4:$K$53),"")</f>
        <v/>
      </c>
      <c r="Q49" s="75">
        <f>IF(ISBLANK(F49), "", IF(TODAY()-F49&gt;365, "LTCG", "STCG"))</f>
        <v/>
      </c>
      <c r="R49" s="75">
        <f>IF(ISBLANK(L49), "", L49+IF(ISNUMBER(P49), P49, 0))</f>
        <v/>
      </c>
    </row>
    <row r="50" ht="16.5" customHeight="1" s="59">
      <c r="A50" s="22" t="n"/>
      <c r="B50" s="24" t="n"/>
      <c r="C50" s="22" t="n"/>
      <c r="D50" s="24" t="n"/>
      <c r="E50" s="25" t="n"/>
      <c r="F50" s="26" t="n"/>
      <c r="G50" s="25" t="n"/>
      <c r="H50" s="24" t="n"/>
      <c r="I50" s="24" t="n"/>
      <c r="J50" s="76">
        <f>IFERROR(D50*E50,"")</f>
        <v/>
      </c>
      <c r="K50" s="76">
        <f>IFERROR(D50*G50,"")</f>
        <v/>
      </c>
      <c r="L50" s="76">
        <f>IFERROR(K50-J50,"")</f>
        <v/>
      </c>
      <c r="M50" s="77">
        <f>IFERROR((K50-J50)/J50,"")</f>
        <v/>
      </c>
      <c r="N50" s="77">
        <f>IFERROR(IF(F50="","",((G50/E50)^(365/MAX(1,TODAY()-F50))-1)),"")</f>
        <v/>
      </c>
      <c r="O50" s="77">
        <f>IFERROR(K50/SUM($K$4:$K$53),"")</f>
        <v/>
      </c>
      <c r="Q50" s="75">
        <f>IF(ISBLANK(F50), "", IF(TODAY()-F50&gt;365, "LTCG", "STCG"))</f>
        <v/>
      </c>
      <c r="R50" s="75">
        <f>IF(ISBLANK(L50), "", L50+IF(ISNUMBER(P50), P50, 0))</f>
        <v/>
      </c>
    </row>
    <row r="51" ht="16.5" customHeight="1" s="59">
      <c r="A51" s="29" t="n"/>
      <c r="B51" s="31" t="n"/>
      <c r="C51" s="29" t="n"/>
      <c r="D51" s="31" t="n"/>
      <c r="E51" s="32" t="n"/>
      <c r="F51" s="33" t="n"/>
      <c r="G51" s="32" t="n"/>
      <c r="H51" s="31" t="n"/>
      <c r="I51" s="31" t="n"/>
      <c r="J51" s="78">
        <f>IFERROR(D51*E51,"")</f>
        <v/>
      </c>
      <c r="K51" s="78">
        <f>IFERROR(D51*G51,"")</f>
        <v/>
      </c>
      <c r="L51" s="78">
        <f>IFERROR(K51-J51,"")</f>
        <v/>
      </c>
      <c r="M51" s="79">
        <f>IFERROR((K51-J51)/J51,"")</f>
        <v/>
      </c>
      <c r="N51" s="79">
        <f>IFERROR(IF(F51="","",((G51/E51)^(365/MAX(1,TODAY()-F51))-1)),"")</f>
        <v/>
      </c>
      <c r="O51" s="79">
        <f>IFERROR(K51/SUM($K$4:$K$53),"")</f>
        <v/>
      </c>
    </row>
    <row r="52" ht="16.5" customHeight="1" s="59">
      <c r="A52" s="22" t="n"/>
      <c r="B52" s="24" t="n"/>
      <c r="C52" s="22" t="n"/>
      <c r="D52" s="24" t="n"/>
      <c r="E52" s="25" t="n"/>
      <c r="F52" s="26" t="n"/>
      <c r="G52" s="25" t="n"/>
      <c r="H52" s="24" t="n"/>
      <c r="I52" s="24" t="n"/>
      <c r="J52" s="76">
        <f>IFERROR(D52*E52,"")</f>
        <v/>
      </c>
      <c r="K52" s="76">
        <f>IFERROR(D52*G52,"")</f>
        <v/>
      </c>
      <c r="L52" s="76">
        <f>IFERROR(K52-J52,"")</f>
        <v/>
      </c>
      <c r="M52" s="77">
        <f>IFERROR((K52-J52)/J52,"")</f>
        <v/>
      </c>
      <c r="N52" s="77">
        <f>IFERROR(IF(F52="","",((G52/E52)^(365/MAX(1,TODAY()-F52))-1)),"")</f>
        <v/>
      </c>
      <c r="O52" s="77">
        <f>IFERROR(K52/SUM($K$4:$K$53),"")</f>
        <v/>
      </c>
    </row>
    <row r="53" ht="16.5" customHeight="1" s="59">
      <c r="A53" s="29" t="n"/>
      <c r="B53" s="31" t="n"/>
      <c r="C53" s="29" t="n"/>
      <c r="D53" s="31" t="n"/>
      <c r="E53" s="32" t="n"/>
      <c r="F53" s="33" t="n"/>
      <c r="G53" s="32" t="n"/>
      <c r="H53" s="31" t="n"/>
      <c r="I53" s="31" t="n"/>
      <c r="J53" s="78">
        <f>IFERROR(D53*E53,"")</f>
        <v/>
      </c>
      <c r="K53" s="78">
        <f>IFERROR(D53*G53,"")</f>
        <v/>
      </c>
      <c r="L53" s="78">
        <f>IFERROR(K53-J53,"")</f>
        <v/>
      </c>
      <c r="M53" s="79">
        <f>IFERROR((K53-J53)/J53,"")</f>
        <v/>
      </c>
      <c r="N53" s="79">
        <f>IFERROR(IF(F53="","",((G53/E53)^(365/MAX(1,TODAY()-F53))-1)),"")</f>
        <v/>
      </c>
      <c r="O53" s="79">
        <f>IFERROR(K53/SUM($K$4:$K$53),"")</f>
        <v/>
      </c>
    </row>
    <row r="54" ht="19.5" customHeight="1" s="59">
      <c r="A54" s="37" t="inlineStr">
        <is>
          <t>TOTAL</t>
        </is>
      </c>
      <c r="B54" s="37" t="n"/>
      <c r="C54" s="37" t="inlineStr">
        <is>
          <t>Industrials</t>
        </is>
      </c>
      <c r="D54" s="37" t="n"/>
      <c r="E54" s="37" t="n"/>
      <c r="F54" s="37" t="n"/>
      <c r="G54" s="37" t="n">
        <v>48.59</v>
      </c>
      <c r="H54" s="37" t="n"/>
      <c r="I54" s="37" t="n"/>
      <c r="J54" s="80">
        <f>IFERROR(SUM(J4:J53),0)</f>
        <v/>
      </c>
      <c r="K54" s="80">
        <f>IFERROR(SUM(K4:K53),0)</f>
        <v/>
      </c>
      <c r="L54" s="80">
        <f>IFERROR(SUM(L4:L53),0)</f>
        <v/>
      </c>
      <c r="M54" s="81">
        <f>IFERROR((K54-J54)/J54,"")</f>
        <v/>
      </c>
      <c r="N54" s="80" t="n"/>
      <c r="O54" s="80" t="n"/>
    </row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5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2026-06-08T13:00:04Z</dcterms:modified>
  <cp:lastModifiedBy>Krish Mehta</cp:lastModifiedBy>
</cp:coreProperties>
</file>