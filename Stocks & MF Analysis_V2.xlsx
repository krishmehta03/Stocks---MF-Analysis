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📋 How To Use" sheetId="1" state="hidden" r:id="rId1"/>
    <sheet xmlns:r="http://schemas.openxmlformats.org/officeDocument/2006/relationships" name="🎯 Dashboard" sheetId="2" state="visible" r:id="rId2"/>
    <sheet xmlns:r="http://schemas.openxmlformats.org/officeDocument/2006/relationships" name="📥 Stock Data Input" sheetId="3" state="visible" r:id="rId3"/>
    <sheet xmlns:r="http://schemas.openxmlformats.org/officeDocument/2006/relationships" name="📥 MF Data Input" sheetId="4" state="visible" r:id="rId4"/>
    <sheet xmlns:r="http://schemas.openxmlformats.org/officeDocument/2006/relationships" name="📊 Stock Analysis" sheetId="5" state="visible" r:id="rId5"/>
    <sheet xmlns:r="http://schemas.openxmlformats.org/officeDocument/2006/relationships" name="📊 MF Analysis" sheetId="6" state="visible" r:id="rId6"/>
    <sheet xmlns:r="http://schemas.openxmlformats.org/officeDocument/2006/relationships" name="📈 Sector Allocation" sheetId="7" state="visible" r:id="rId7"/>
    <sheet xmlns:r="http://schemas.openxmlformats.org/officeDocument/2006/relationships" name="⚠️ Risk &amp; Sign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\-mm\-yyyy"/>
  </numFmts>
  <fonts count="18">
    <font>
      <name val="Calibri"/>
      <color theme="1"/>
      <sz val="11"/>
      <scheme val="minor"/>
    </font>
    <font>
      <name val="Arial"/>
      <b val="1"/>
      <color rgb="FFFFFFFF"/>
      <sz val="13"/>
    </font>
    <font/>
    <font>
      <name val="Calibri"/>
      <color theme="1"/>
      <scheme val="minor"/>
    </font>
    <font>
      <name val="Arial"/>
      <b val="1"/>
      <color rgb="FFFFFFFF"/>
      <sz val="10"/>
    </font>
    <font>
      <name val="Arial"/>
      <b val="1"/>
      <color rgb="FF595959"/>
      <sz val="9"/>
    </font>
    <font>
      <name val="Arial"/>
      <color rgb="FF000000"/>
      <sz val="10"/>
    </font>
    <font>
      <name val="Arial"/>
      <b val="1"/>
      <color rgb="FF375623"/>
      <sz val="10"/>
    </font>
    <font>
      <name val="Arial"/>
      <color rgb="FF375623"/>
      <sz val="10"/>
    </font>
    <font>
      <name val="Arial"/>
      <b val="1"/>
      <color rgb="FFFFFFFF"/>
      <sz val="11"/>
    </font>
    <font>
      <name val="Arial"/>
      <color rgb="FF595959"/>
      <sz val="9"/>
    </font>
    <font>
      <name val="Arial"/>
      <b val="1"/>
      <color rgb="FF1F3864"/>
      <sz val="14"/>
    </font>
    <font>
      <name val="Arial"/>
      <b val="1"/>
      <color rgb="FFC00000"/>
      <sz val="10"/>
    </font>
    <font>
      <name val="Arial"/>
      <i val="1"/>
      <color rgb="FF5D4037"/>
      <sz val="9"/>
    </font>
    <font>
      <name val="Arial"/>
      <color rgb="FF0000FF"/>
      <sz val="10"/>
    </font>
    <font>
      <name val="Arial"/>
      <b val="1"/>
      <color rgb="FF000000"/>
      <sz val="10"/>
    </font>
    <font>
      <name val="Arial"/>
      <b val="1"/>
      <color rgb="FF1F3864"/>
      <sz val="12"/>
    </font>
    <font>
      <b val="1"/>
      <color rgb="00FFFFFF"/>
    </font>
  </fonts>
  <fills count="15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C00000"/>
        <bgColor rgb="FFC00000"/>
      </patternFill>
    </fill>
    <fill>
      <patternFill patternType="solid">
        <fgColor rgb="FFFCE4D6"/>
        <bgColor rgb="FFFCE4D6"/>
      </patternFill>
    </fill>
    <fill>
      <patternFill patternType="solid">
        <fgColor rgb="FFFFF9C4"/>
        <bgColor rgb="FFFFF9C4"/>
      </patternFill>
    </fill>
    <fill>
      <patternFill patternType="solid">
        <fgColor rgb="FFEBF3FB"/>
        <bgColor rgb="FFEBF3FB"/>
      </patternFill>
    </fill>
    <fill>
      <patternFill patternType="solid">
        <fgColor rgb="FFDCF0FB"/>
        <bgColor rgb="FFDCF0FB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004F81BD"/>
        <bgColor rgb="004F81BD"/>
      </patternFill>
    </fill>
  </fills>
  <borders count="13">
    <border/>
    <border>
      <left/>
      <top/>
      <bottom/>
    </border>
    <border>
      <right/>
      <top/>
      <bottom/>
    </border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</borders>
  <cellStyleXfs count="1">
    <xf numFmtId="0" fontId="0" fillId="0" borderId="0"/>
  </cellStyleXfs>
  <cellXfs count="9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3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center" vertical="center" wrapText="1"/>
    </xf>
    <xf numFmtId="0" fontId="2" fillId="0" borderId="5" pivotButton="0" quotePrefix="0" xfId="0"/>
    <xf numFmtId="0" fontId="9" fillId="3" borderId="1" applyAlignment="1" pivotButton="0" quotePrefix="0" xfId="0">
      <alignment horizontal="center" vertical="center" wrapText="1"/>
    </xf>
    <xf numFmtId="0" fontId="10" fillId="4" borderId="6" applyAlignment="1" pivotButton="0" quotePrefix="0" xfId="0">
      <alignment horizontal="center" vertical="center" wrapText="1"/>
    </xf>
    <xf numFmtId="0" fontId="2" fillId="0" borderId="7" pivotButton="0" quotePrefix="0" xfId="0"/>
    <xf numFmtId="3" fontId="11" fillId="5" borderId="6" applyAlignment="1" pivotButton="0" quotePrefix="0" xfId="0">
      <alignment horizontal="center" vertical="center" wrapText="1"/>
    </xf>
    <xf numFmtId="10" fontId="11" fillId="5" borderId="6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 wrapText="1"/>
    </xf>
    <xf numFmtId="3" fontId="6" fillId="5" borderId="4" applyAlignment="1" pivotButton="0" quotePrefix="0" xfId="0">
      <alignment horizontal="center" vertical="center" wrapText="1"/>
    </xf>
    <xf numFmtId="10" fontId="6" fillId="5" borderId="4" applyAlignment="1" pivotButton="0" quotePrefix="0" xfId="0">
      <alignment horizontal="center" vertical="center" wrapText="1"/>
    </xf>
    <xf numFmtId="0" fontId="6" fillId="6" borderId="4" applyAlignment="1" pivotButton="0" quotePrefix="0" xfId="0">
      <alignment horizontal="center" vertical="center" wrapText="1"/>
    </xf>
    <xf numFmtId="3" fontId="6" fillId="6" borderId="4" applyAlignment="1" pivotButton="0" quotePrefix="0" xfId="0">
      <alignment horizontal="center" vertical="center" wrapText="1"/>
    </xf>
    <xf numFmtId="10" fontId="6" fillId="6" borderId="4" applyAlignment="1" pivotButton="0" quotePrefix="0" xfId="0">
      <alignment horizontal="center" vertical="center" wrapText="1"/>
    </xf>
    <xf numFmtId="3" fontId="4" fillId="2" borderId="4" applyAlignment="1" pivotButton="0" quotePrefix="0" xfId="0">
      <alignment horizontal="center" vertical="center" wrapText="1"/>
    </xf>
    <xf numFmtId="10" fontId="4" fillId="2" borderId="4" applyAlignment="1" pivotButton="0" quotePrefix="0" xfId="0">
      <alignment horizontal="center" vertical="center" wrapText="1"/>
    </xf>
    <xf numFmtId="10" fontId="7" fillId="6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2" fillId="8" borderId="4" applyAlignment="1" pivotButton="0" quotePrefix="0" xfId="0">
      <alignment horizontal="center" vertical="center" wrapText="1"/>
    </xf>
    <xf numFmtId="0" fontId="6" fillId="8" borderId="4" applyAlignment="1" pivotButton="0" quotePrefix="0" xfId="0">
      <alignment horizontal="center" vertical="center" wrapText="1"/>
    </xf>
    <xf numFmtId="3" fontId="6" fillId="8" borderId="4" applyAlignment="1" pivotButton="0" quotePrefix="0" xfId="0">
      <alignment horizontal="center" vertical="center" wrapText="1"/>
    </xf>
    <xf numFmtId="10" fontId="12" fillId="8" borderId="4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 wrapText="1"/>
    </xf>
    <xf numFmtId="0" fontId="14" fillId="10" borderId="4" applyAlignment="1" pivotButton="0" quotePrefix="0" xfId="0">
      <alignment horizontal="left" vertical="center"/>
    </xf>
    <xf numFmtId="0" fontId="14" fillId="10" borderId="7" applyAlignment="1" pivotButton="0" quotePrefix="0" xfId="0">
      <alignment horizontal="center" vertical="center"/>
    </xf>
    <xf numFmtId="0" fontId="14" fillId="10" borderId="4" applyAlignment="1" pivotButton="0" quotePrefix="0" xfId="0">
      <alignment horizontal="left" vertical="center"/>
    </xf>
    <xf numFmtId="0" fontId="14" fillId="10" borderId="4" applyAlignment="1" pivotButton="0" quotePrefix="0" xfId="0">
      <alignment horizontal="center" vertical="center"/>
    </xf>
    <xf numFmtId="4" fontId="14" fillId="10" borderId="4" applyAlignment="1" pivotButton="0" quotePrefix="0" xfId="0">
      <alignment horizontal="right" vertical="center"/>
    </xf>
    <xf numFmtId="164" fontId="14" fillId="10" borderId="4" applyAlignment="1" pivotButton="0" quotePrefix="0" xfId="0">
      <alignment horizontal="center" vertical="center"/>
    </xf>
    <xf numFmtId="0" fontId="14" fillId="10" borderId="4" applyAlignment="1" pivotButton="0" quotePrefix="0" xfId="0">
      <alignment horizontal="center" vertical="center"/>
    </xf>
    <xf numFmtId="4" fontId="6" fillId="5" borderId="4" applyAlignment="1" pivotButton="0" quotePrefix="0" xfId="0">
      <alignment horizontal="right" vertical="center"/>
    </xf>
    <xf numFmtId="10" fontId="6" fillId="5" borderId="4" applyAlignment="1" pivotButton="0" quotePrefix="0" xfId="0">
      <alignment horizontal="right" vertical="center"/>
    </xf>
    <xf numFmtId="0" fontId="14" fillId="11" borderId="4" applyAlignment="1" pivotButton="0" quotePrefix="0" xfId="0">
      <alignment horizontal="left" vertical="center"/>
    </xf>
    <xf numFmtId="0" fontId="14" fillId="11" borderId="7" applyAlignment="1" pivotButton="0" quotePrefix="0" xfId="0">
      <alignment horizontal="center" vertical="center"/>
    </xf>
    <xf numFmtId="0" fontId="14" fillId="11" borderId="4" applyAlignment="1" pivotButton="0" quotePrefix="0" xfId="0">
      <alignment horizontal="left" vertical="center"/>
    </xf>
    <xf numFmtId="0" fontId="14" fillId="11" borderId="4" applyAlignment="1" pivotButton="0" quotePrefix="0" xfId="0">
      <alignment horizontal="center" vertical="center"/>
    </xf>
    <xf numFmtId="4" fontId="14" fillId="11" borderId="4" applyAlignment="1" pivotButton="0" quotePrefix="0" xfId="0">
      <alignment horizontal="right" vertical="center"/>
    </xf>
    <xf numFmtId="164" fontId="14" fillId="11" borderId="4" applyAlignment="1" pivotButton="0" quotePrefix="0" xfId="0">
      <alignment horizontal="center" vertical="center"/>
    </xf>
    <xf numFmtId="0" fontId="14" fillId="11" borderId="4" applyAlignment="1" pivotButton="0" quotePrefix="0" xfId="0">
      <alignment horizontal="center" vertical="center"/>
    </xf>
    <xf numFmtId="4" fontId="6" fillId="4" borderId="4" applyAlignment="1" pivotButton="0" quotePrefix="0" xfId="0">
      <alignment horizontal="right" vertical="center"/>
    </xf>
    <xf numFmtId="10" fontId="6" fillId="4" borderId="4" applyAlignment="1" pivotButton="0" quotePrefix="0" xfId="0">
      <alignment horizontal="right" vertical="center"/>
    </xf>
    <xf numFmtId="4" fontId="14" fillId="11" borderId="4" applyAlignment="1" pivotButton="0" quotePrefix="0" xfId="0">
      <alignment horizontal="right" vertical="center"/>
    </xf>
    <xf numFmtId="4" fontId="14" fillId="10" borderId="4" applyAlignment="1" pivotButton="0" quotePrefix="0" xfId="0">
      <alignment horizontal="right" vertical="center"/>
    </xf>
    <xf numFmtId="0" fontId="14" fillId="10" borderId="9" applyAlignment="1" pivotButton="0" quotePrefix="0" xfId="0">
      <alignment horizontal="left" vertical="center"/>
    </xf>
    <xf numFmtId="0" fontId="4" fillId="2" borderId="4" applyAlignment="1" pivotButton="0" quotePrefix="0" xfId="0">
      <alignment horizontal="left" vertical="center"/>
    </xf>
    <xf numFmtId="4" fontId="4" fillId="2" borderId="4" applyAlignment="1" pivotButton="0" quotePrefix="0" xfId="0">
      <alignment horizontal="right" vertical="center"/>
    </xf>
    <xf numFmtId="10" fontId="4" fillId="2" borderId="4" applyAlignment="1" pivotButton="0" quotePrefix="0" xfId="0">
      <alignment horizontal="right" vertical="center"/>
    </xf>
    <xf numFmtId="0" fontId="6" fillId="5" borderId="4" applyAlignment="1" pivotButton="0" quotePrefix="0" xfId="0">
      <alignment horizontal="left" vertical="center"/>
    </xf>
    <xf numFmtId="3" fontId="6" fillId="5" borderId="4" applyAlignment="1" pivotButton="0" quotePrefix="0" xfId="0">
      <alignment horizontal="right" vertical="center"/>
    </xf>
    <xf numFmtId="0" fontId="6" fillId="5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/>
    </xf>
    <xf numFmtId="3" fontId="6" fillId="4" borderId="4" applyAlignment="1" pivotButton="0" quotePrefix="0" xfId="0">
      <alignment horizontal="right" vertical="center"/>
    </xf>
    <xf numFmtId="0" fontId="6" fillId="4" borderId="4" applyAlignment="1" pivotButton="0" quotePrefix="0" xfId="0">
      <alignment horizontal="center" vertical="center"/>
    </xf>
    <xf numFmtId="0" fontId="6" fillId="4" borderId="4" applyAlignment="1" pivotButton="0" quotePrefix="0" xfId="0">
      <alignment horizontal="left" vertical="center" wrapText="1"/>
    </xf>
    <xf numFmtId="0" fontId="15" fillId="5" borderId="4" applyAlignment="1" pivotButton="0" quotePrefix="0" xfId="0">
      <alignment horizontal="left" vertical="center"/>
    </xf>
    <xf numFmtId="0" fontId="15" fillId="12" borderId="4" applyAlignment="1" pivotButton="0" quotePrefix="0" xfId="0">
      <alignment horizontal="left" vertical="center"/>
    </xf>
    <xf numFmtId="0" fontId="6" fillId="12" borderId="4" applyAlignment="1" pivotButton="0" quotePrefix="0" xfId="0">
      <alignment horizontal="center" vertical="center"/>
    </xf>
    <xf numFmtId="4" fontId="6" fillId="12" borderId="4" applyAlignment="1" pivotButton="0" quotePrefix="0" xfId="0">
      <alignment horizontal="right" vertical="center"/>
    </xf>
    <xf numFmtId="10" fontId="6" fillId="12" borderId="4" applyAlignment="1" pivotButton="0" quotePrefix="0" xfId="0">
      <alignment horizontal="right" vertical="center"/>
    </xf>
    <xf numFmtId="0" fontId="9" fillId="3" borderId="1" applyAlignment="1" pivotButton="0" quotePrefix="0" xfId="0">
      <alignment horizontal="left" vertical="center"/>
    </xf>
    <xf numFmtId="0" fontId="6" fillId="5" borderId="6" applyAlignment="1" pivotButton="0" quotePrefix="0" xfId="0">
      <alignment horizontal="left" vertical="center"/>
    </xf>
    <xf numFmtId="0" fontId="2" fillId="0" borderId="10" pivotButton="0" quotePrefix="0" xfId="0"/>
    <xf numFmtId="0" fontId="16" fillId="5" borderId="4" applyAlignment="1" pivotButton="0" quotePrefix="0" xfId="0">
      <alignment horizontal="center" vertical="center"/>
    </xf>
    <xf numFmtId="0" fontId="6" fillId="6" borderId="6" applyAlignment="1" pivotButton="0" quotePrefix="0" xfId="0">
      <alignment horizontal="left" vertical="center"/>
    </xf>
    <xf numFmtId="0" fontId="16" fillId="6" borderId="4" applyAlignment="1" pivotButton="0" quotePrefix="0" xfId="0">
      <alignment horizontal="center" vertical="center"/>
    </xf>
    <xf numFmtId="0" fontId="6" fillId="8" borderId="6" applyAlignment="1" pivotButton="0" quotePrefix="0" xfId="0">
      <alignment horizontal="left" vertical="center"/>
    </xf>
    <xf numFmtId="0" fontId="16" fillId="8" borderId="4" applyAlignment="1" pivotButton="0" quotePrefix="0" xfId="0">
      <alignment horizontal="center" vertical="center"/>
    </xf>
    <xf numFmtId="0" fontId="6" fillId="13" borderId="6" applyAlignment="1" pivotButton="0" quotePrefix="0" xfId="0">
      <alignment horizontal="left" vertical="center"/>
    </xf>
    <xf numFmtId="0" fontId="16" fillId="13" borderId="4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3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9" fillId="3" borderId="3" applyAlignment="1" pivotButton="0" quotePrefix="0" xfId="0">
      <alignment horizontal="center" vertical="center" wrapText="1"/>
    </xf>
    <xf numFmtId="0" fontId="10" fillId="4" borderId="4" applyAlignment="1" pivotButton="0" quotePrefix="0" xfId="0">
      <alignment horizontal="center" vertical="center" wrapText="1"/>
    </xf>
    <xf numFmtId="0" fontId="0" fillId="0" borderId="7" pivotButton="0" quotePrefix="0" xfId="0"/>
    <xf numFmtId="3" fontId="11" fillId="5" borderId="4" applyAlignment="1" pivotButton="0" quotePrefix="0" xfId="0">
      <alignment horizontal="center" vertical="center" wrapText="1"/>
    </xf>
    <xf numFmtId="10" fontId="11" fillId="5" borderId="4" applyAlignment="1" pivotButton="0" quotePrefix="0" xfId="0">
      <alignment horizontal="center" vertical="center" wrapText="1"/>
    </xf>
    <xf numFmtId="0" fontId="9" fillId="7" borderId="3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/>
    </xf>
    <xf numFmtId="0" fontId="13" fillId="9" borderId="3" applyAlignment="1" pivotButton="0" quotePrefix="0" xfId="0">
      <alignment horizontal="left" vertical="center" wrapText="1"/>
    </xf>
    <xf numFmtId="0" fontId="17" fillId="14" borderId="0" applyAlignment="1" pivotButton="0" quotePrefix="0" xfId="0">
      <alignment horizontal="center" vertical="center" wrapText="1"/>
    </xf>
    <xf numFmtId="0" fontId="9" fillId="3" borderId="3" applyAlignment="1" pivotButton="0" quotePrefix="0" xfId="0">
      <alignment horizontal="left" vertical="center"/>
    </xf>
    <xf numFmtId="0" fontId="0" fillId="0" borderId="10" pivotButton="0" quotePrefix="0" xfId="0"/>
    <xf numFmtId="0" fontId="6" fillId="6" borderId="4" applyAlignment="1" pivotButton="0" quotePrefix="0" xfId="0">
      <alignment horizontal="left" vertical="center"/>
    </xf>
    <xf numFmtId="0" fontId="6" fillId="8" borderId="4" applyAlignment="1" pivotButton="0" quotePrefix="0" xfId="0">
      <alignment horizontal="left" vertical="center"/>
    </xf>
    <xf numFmtId="0" fontId="6" fillId="13" borderId="4" applyAlignment="1" pivotButton="0" quotePrefix="0" xfId="0">
      <alignment horizontal="lef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6.71" customWidth="1" style="82" min="1" max="1"/>
    <col width="84.70999999999999" customWidth="1" style="82" min="2" max="2"/>
    <col width="8.710000000000001" customWidth="1" style="82" min="3" max="26"/>
  </cols>
  <sheetData>
    <row r="1" ht="30" customHeight="1" s="82">
      <c r="A1" s="83" t="inlineStr">
        <is>
          <t>Portfolio &amp; Mutual Fund Management Template — User Guide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7.5" customHeight="1" s="8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18" customHeight="1" s="82">
      <c r="A3" s="84" t="inlineStr">
        <is>
          <t>SHEET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33.75" customHeight="1" s="82">
      <c r="A4" s="5" t="inlineStr">
        <is>
          <t>📥 Stock Data Input</t>
        </is>
      </c>
      <c r="B4" s="6" t="inlineStr">
        <is>
          <t>Enter equity holdings. Fill: Scrip Name, Qty, Buy Price, Buy Date, Current Price, Sector, Exchange. All other columns auto-calculate.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8.5" customHeight="1" s="82">
      <c r="A5" s="5" t="inlineStr">
        <is>
          <t>📥 MF Data Input</t>
        </is>
      </c>
      <c r="B5" s="6" t="inlineStr">
        <is>
          <t>Enter mutual fund holdings. Fill: Fund Name, AMC, Category, Units, Buy NAV, Buy Date, Current NAV, Benchmark Return %. Returns auto-calculate.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30.75" customHeight="1" s="82">
      <c r="A6" s="5" t="inlineStr">
        <is>
          <t>📊 Stock Analysis</t>
        </is>
      </c>
      <c r="B6" s="6" t="inlineStr">
        <is>
          <t>Auto-generated P&amp;L, XIRR estimate, weight, and signals for every stock. Pulls from Stock Data Input — do not edit.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6.25" customHeight="1" s="82">
      <c r="A7" s="5" t="inlineStr">
        <is>
          <t>📊 MF Analysis</t>
        </is>
      </c>
      <c r="B7" s="6" t="inlineStr">
        <is>
          <t>Auto-generated returns, alpha vs benchmark, and signals for every fund. Pulls from MF Data Input — do not edit.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 s="82">
      <c r="A8" s="5" t="inlineStr">
        <is>
          <t>🎯 Dashboard</t>
        </is>
      </c>
      <c r="B8" s="6" t="inlineStr">
        <is>
          <t>Executive summary: total value, combined P&amp;L, top/bottom 5 performers, asset allocation split. All auto-calculated.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3.25" customHeight="1" s="82">
      <c r="A9" s="5" t="inlineStr">
        <is>
          <t>📈 Sector Allocation</t>
        </is>
      </c>
      <c r="B9" s="6" t="inlineStr">
        <is>
          <t>Sector-wise equity breakdown with value, return, and concentration weight. Auto-calculated.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9.25" customHeight="1" s="82">
      <c r="A10" s="5" t="inlineStr">
        <is>
          <t>⚠️ Risk &amp; Signals</t>
        </is>
      </c>
      <c r="B10" s="6" t="inlineStr">
        <is>
          <t>Summary counts + detailed flags: loss positions, underperformers, low-qty holdings, MFs below benchmark. Auto-calculated.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6" customHeight="1" s="82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8" customHeight="1" s="82">
      <c r="A12" s="84" t="inlineStr">
        <is>
          <t>COLOR LEGEND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8" customHeight="1" s="82">
      <c r="A13" s="5" t="inlineStr">
        <is>
          <t>🔵 Blue cell background</t>
        </is>
      </c>
      <c r="B13" s="6" t="inlineStr">
        <is>
          <t>→ Input cell: YOU must fill this in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8" customHeight="1" s="82">
      <c r="A14" s="5" t="inlineStr">
        <is>
          <t>⚫ Black text</t>
        </is>
      </c>
      <c r="B14" s="6" t="inlineStr">
        <is>
          <t>→ Formula cell: auto-calculated, do not edit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8" customHeight="1" s="82">
      <c r="A15" s="5" t="inlineStr">
        <is>
          <t>🟢 Green signal</t>
        </is>
      </c>
      <c r="B15" s="6" t="inlineStr">
        <is>
          <t>→ Strong performer / Hold / Outperforming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8" customHeight="1" s="82">
      <c r="A16" s="5" t="inlineStr">
        <is>
          <t>🟡 Amber signal</t>
        </is>
      </c>
      <c r="B16" s="6" t="inlineStr">
        <is>
          <t>→ Watch / Review / Below benchmark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8" customHeight="1" s="82">
      <c r="A17" s="5" t="inlineStr">
        <is>
          <t>🔴 Red signal</t>
        </is>
      </c>
      <c r="B17" s="6" t="inlineStr">
        <is>
          <t>→ Underperformer / Loss / Consider exit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6" customHeight="1" s="82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8" customHeight="1" s="82">
      <c r="A19" s="84" t="inlineStr">
        <is>
          <t>QUICK START</t>
        </is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8" customHeight="1" s="82">
      <c r="A20" s="7" t="inlineStr">
        <is>
          <t>Step 1</t>
        </is>
      </c>
      <c r="B20" s="8" t="inlineStr">
        <is>
          <t>Go to 📥 Stock Data Input → enter your stock holdings row by row</t>
        </is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8" customHeight="1" s="82">
      <c r="A21" s="7" t="inlineStr">
        <is>
          <t>Step 2</t>
        </is>
      </c>
      <c r="B21" s="8" t="inlineStr">
        <is>
          <t>Go to 📥 MF Data Input → enter your mutual fund holdings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8" customHeight="1" s="82">
      <c r="A22" s="7" t="inlineStr">
        <is>
          <t>Step 3</t>
        </is>
      </c>
      <c r="B22" s="8" t="inlineStr">
        <is>
          <t>All analysis sheets update automatically — no manual work needed</t>
        </is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8" customHeight="1" s="82">
      <c r="A23" s="7" t="inlineStr">
        <is>
          <t>Step 4</t>
        </is>
      </c>
      <c r="B23" s="8" t="inlineStr">
        <is>
          <t>Check 🎯 Dashboard for full portfolio summary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8" customHeight="1" s="82">
      <c r="A24" s="7" t="inlineStr">
        <is>
          <t>Step 5</t>
        </is>
      </c>
      <c r="B24" s="8" t="inlineStr">
        <is>
          <t>Check ⚠️ Risk &amp; Signals for prioritised action list</t>
        </is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6" customHeight="1" s="82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8" customHeight="1" s="82">
      <c r="A26" s="84" t="inlineStr">
        <is>
          <t>NOTES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8" customHeight="1" s="82">
      <c r="A27" s="5" t="inlineStr">
        <is>
          <t>Buy Price</t>
        </is>
      </c>
      <c r="B27" s="6" t="inlineStr">
        <is>
          <t>Enter the average cost per share. For multiple purchases, use weighted average buy price.</t>
        </is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9.5" customHeight="1" s="82">
      <c r="A28" s="5" t="inlineStr">
        <is>
          <t>Current Price</t>
        </is>
      </c>
      <c r="B28" s="6" t="inlineStr">
        <is>
          <t>Update this periodically to refresh all calculations across all sheets.</t>
        </is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24.75" customHeight="1" s="82">
      <c r="A29" s="5" t="inlineStr">
        <is>
          <t>5Y CAGR</t>
        </is>
      </c>
      <c r="B29" s="6" t="inlineStr">
        <is>
          <t>Enter manually from Screener.in, Tickertape, or Moneycontrol. Used for benchmark comparison.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8" customHeight="1" s="82">
      <c r="A30" s="5" t="inlineStr">
        <is>
          <t>Nifty 5Y CAGR</t>
        </is>
      </c>
      <c r="B30" s="6" t="inlineStr">
        <is>
          <t>Enter 14 as a default (Nifty 50 delivered ~14% CAGR over last 5 years). Adjust if needed.</t>
        </is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9.5" customHeight="1" s="82">
      <c r="A31" s="5" t="inlineStr">
        <is>
          <t>XIRR</t>
        </is>
      </c>
      <c r="B31" s="6" t="inlineStr">
        <is>
          <t>Approximate annualised return from buy date to today. For precise XIRR, use broker statement.</t>
        </is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20.25" customHeight="1" s="82">
      <c r="A32" s="5" t="inlineStr">
        <is>
          <t>Benchmark (MF)</t>
        </is>
      </c>
      <c r="B32" s="6" t="inlineStr">
        <is>
          <t>Enter 1Y benchmark return % from the fund factsheet or AMFI website.</t>
        </is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4.25" customHeight="1" s="82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4.25" customHeight="1" s="82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4.25" customHeight="1" s="82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4.25" customHeight="1" s="82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4.25" customHeight="1" s="82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4.25" customHeight="1" s="82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4.25" customHeight="1" s="82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4.25" customHeight="1" s="82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4.25" customHeight="1" s="82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4.25" customHeight="1" s="8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4.25" customHeight="1" s="82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4.25" customHeight="1" s="82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4.25" customHeight="1" s="82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4.25" customHeight="1" s="82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4.25" customHeight="1" s="82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4.25" customHeight="1" s="82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4.25" customHeight="1" s="82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4.25" customHeight="1" s="82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4.25" customHeight="1" s="82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4.25" customHeight="1" s="8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4.25" customHeight="1" s="82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4.25" customHeight="1" s="82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4.25" customHeight="1" s="82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4.25" customHeight="1" s="82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4.25" customHeight="1" s="82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4.25" customHeight="1" s="82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4.25" customHeight="1" s="82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4.25" customHeight="1" s="82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4.25" customHeight="1" s="82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4.25" customHeight="1" s="8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4.25" customHeight="1" s="82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4.25" customHeight="1" s="82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4.25" customHeight="1" s="82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4.25" customHeight="1" s="82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4.25" customHeight="1" s="82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4.25" customHeight="1" s="82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4.25" customHeight="1" s="82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4.25" customHeight="1" s="82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4.25" customHeight="1" s="82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4.25" customHeight="1" s="8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4.25" customHeight="1" s="82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4.25" customHeight="1" s="82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4.25" customHeight="1" s="82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4.25" customHeight="1" s="82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4.25" customHeight="1" s="82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4.25" customHeight="1" s="82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4.25" customHeight="1" s="82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4.25" customHeight="1" s="82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4.25" customHeight="1" s="82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4.25" customHeight="1" s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4.25" customHeight="1" s="82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4.25" customHeight="1" s="82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4.25" customHeight="1" s="82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4.25" customHeight="1" s="82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4.25" customHeight="1" s="82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4.25" customHeight="1" s="82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4.25" customHeight="1" s="82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4.25" customHeight="1" s="82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4.25" customHeight="1" s="82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4.25" customHeight="1" s="8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4.25" customHeight="1" s="82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4.25" customHeight="1" s="82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4.25" customHeight="1" s="82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4.25" customHeight="1" s="82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4.25" customHeight="1" s="82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4.25" customHeight="1" s="82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4.25" customHeight="1" s="82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4.25" customHeight="1" s="82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4.25" customHeight="1" s="82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4.25" customHeight="1" s="8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4.25" customHeight="1" s="82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4.25" customHeight="1" s="82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4.25" customHeight="1" s="82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4.25" customHeight="1" s="82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4.25" customHeight="1" s="82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4.25" customHeight="1" s="82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4.25" customHeight="1" s="82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4.25" customHeight="1" s="82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4.25" customHeight="1" s="82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4.25" customHeight="1" s="8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4.25" customHeight="1" s="82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4.25" customHeight="1" s="82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4.25" customHeight="1" s="82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4.25" customHeight="1" s="82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4.25" customHeight="1" s="82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4.25" customHeight="1" s="82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4.25" customHeight="1" s="82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4.25" customHeight="1" s="82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4.25" customHeight="1" s="82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4.25" customHeight="1" s="8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4.25" customHeight="1" s="82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4.25" customHeight="1" s="82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4.25" customHeight="1" s="82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4.25" customHeight="1" s="82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4.25" customHeight="1" s="82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4.25" customHeight="1" s="82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4.25" customHeight="1" s="82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4.25" customHeight="1" s="82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4.25" customHeight="1" s="82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4.25" customHeight="1" s="8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4.25" customHeight="1" s="82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4.25" customHeight="1" s="82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4.25" customHeight="1" s="82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4.25" customHeight="1" s="82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4.25" customHeight="1" s="82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4.25" customHeight="1" s="82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4.25" customHeight="1" s="82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4.25" customHeight="1" s="82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4.25" customHeight="1" s="82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4.25" customHeight="1" s="8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4.25" customHeight="1" s="82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4.25" customHeight="1" s="82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4.25" customHeight="1" s="82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4.25" customHeight="1" s="82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4.25" customHeight="1" s="82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4.25" customHeight="1" s="82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4.25" customHeight="1" s="82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4.25" customHeight="1" s="82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4.25" customHeight="1" s="82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4.25" customHeight="1" s="8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4.25" customHeight="1" s="82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4.25" customHeight="1" s="82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4.25" customHeight="1" s="82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4.25" customHeight="1" s="82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4.25" customHeight="1" s="82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4.25" customHeight="1" s="82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4.25" customHeight="1" s="82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4.25" customHeight="1" s="82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4.25" customHeight="1" s="82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4.25" customHeight="1" s="8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4.25" customHeight="1" s="82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4.25" customHeight="1" s="82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4.25" customHeight="1" s="82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4.25" customHeight="1" s="82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4.25" customHeight="1" s="82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4.25" customHeight="1" s="82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4.25" customHeight="1" s="82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4.25" customHeight="1" s="82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4.25" customHeight="1" s="82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4.25" customHeight="1" s="8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4.25" customHeight="1" s="82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4.25" customHeight="1" s="82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4.25" customHeight="1" s="82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4.25" customHeight="1" s="82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4.25" customHeight="1" s="82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4.25" customHeight="1" s="82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4.25" customHeight="1" s="82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4.25" customHeight="1" s="82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4.25" customHeight="1" s="82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4.25" customHeight="1" s="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4.25" customHeight="1" s="82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4.25" customHeight="1" s="82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4.25" customHeight="1" s="82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4.25" customHeight="1" s="82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4.25" customHeight="1" s="82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4.25" customHeight="1" s="82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4.25" customHeight="1" s="82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4.25" customHeight="1" s="82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4.25" customHeight="1" s="82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4.25" customHeight="1" s="8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4.25" customHeight="1" s="82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4.25" customHeight="1" s="82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4.25" customHeight="1" s="82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4.25" customHeight="1" s="82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4.25" customHeight="1" s="82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4.25" customHeight="1" s="82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4.25" customHeight="1" s="82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4.25" customHeight="1" s="82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4.25" customHeight="1" s="82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4.25" customHeight="1" s="8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4.25" customHeight="1" s="82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4.25" customHeight="1" s="82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4.25" customHeight="1" s="82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4.25" customHeight="1" s="82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4.25" customHeight="1" s="82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4.25" customHeight="1" s="82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4.25" customHeight="1" s="82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4.25" customHeight="1" s="82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4.25" customHeight="1" s="82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4.25" customHeight="1" s="8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4.25" customHeight="1" s="82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4.25" customHeight="1" s="82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4.25" customHeight="1" s="82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4.25" customHeight="1" s="82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4.25" customHeight="1" s="82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4.25" customHeight="1" s="82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4.25" customHeight="1" s="82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4.25" customHeight="1" s="82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4.25" customHeight="1" s="82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4.25" customHeight="1" s="8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4.25" customHeight="1" s="82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4.25" customHeight="1" s="82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4.25" customHeight="1" s="82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4.25" customHeight="1" s="82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4.25" customHeight="1" s="82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4.25" customHeight="1" s="82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4.25" customHeight="1" s="82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4.25" customHeight="1" s="82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4.25" customHeight="1" s="82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4.25" customHeight="1" s="8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4.25" customHeight="1" s="82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4.25" customHeight="1" s="82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4.25" customHeight="1" s="82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4.25" customHeight="1" s="82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4.25" customHeight="1" s="82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4.25" customHeight="1" s="82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4.25" customHeight="1" s="82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4.25" customHeight="1" s="82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4.25" customHeight="1" s="82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4.25" customHeight="1" s="8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4.25" customHeight="1" s="82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4.25" customHeight="1" s="82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4.25" customHeight="1" s="82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4.25" customHeight="1" s="82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4.25" customHeight="1" s="82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4.25" customHeight="1" s="82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4.25" customHeight="1" s="82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4.25" customHeight="1" s="82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4.25" customHeight="1" s="82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4.25" customHeight="1" s="8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4.25" customHeight="1" s="82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4.25" customHeight="1" s="82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4.25" customHeight="1" s="82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4.25" customHeight="1" s="82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4.25" customHeight="1" s="82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4.25" customHeight="1" s="82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4.25" customHeight="1" s="82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4.25" customHeight="1" s="82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4.25" customHeight="1" s="82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4.25" customHeight="1" s="8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4.25" customHeight="1" s="82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4.25" customHeight="1" s="82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4.25" customHeight="1" s="82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4.25" customHeight="1" s="82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4.25" customHeight="1" s="82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4.25" customHeight="1" s="82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4.25" customHeight="1" s="82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4.25" customHeight="1" s="82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4.25" customHeight="1" s="82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4.25" customHeight="1" s="8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4.25" customHeight="1" s="82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4.25" customHeight="1" s="82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4.25" customHeight="1" s="82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4.25" customHeight="1" s="82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4.25" customHeight="1" s="82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4.25" customHeight="1" s="82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4.25" customHeight="1" s="82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4.25" customHeight="1" s="82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4.25" customHeight="1" s="82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4.25" customHeight="1" s="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4.25" customHeight="1" s="82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4.25" customHeight="1" s="82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4.25" customHeight="1" s="82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4.25" customHeight="1" s="82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4.25" customHeight="1" s="82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4.25" customHeight="1" s="82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4.25" customHeight="1" s="82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4.25" customHeight="1" s="82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4.25" customHeight="1" s="82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4.25" customHeight="1" s="8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4.25" customHeight="1" s="82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4.25" customHeight="1" s="82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4.25" customHeight="1" s="82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4.25" customHeight="1" s="82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4.25" customHeight="1" s="82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4.25" customHeight="1" s="82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4.25" customHeight="1" s="82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4.25" customHeight="1" s="82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4.25" customHeight="1" s="82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4.25" customHeight="1" s="8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4.25" customHeight="1" s="82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4.25" customHeight="1" s="82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4.25" customHeight="1" s="82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4.25" customHeight="1" s="82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4.25" customHeight="1" s="82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4.25" customHeight="1" s="82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4.25" customHeight="1" s="82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4.25" customHeight="1" s="82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4.25" customHeight="1" s="82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4.25" customHeight="1" s="8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4.25" customHeight="1" s="82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4.25" customHeight="1" s="82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4.25" customHeight="1" s="82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4.25" customHeight="1" s="82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4.25" customHeight="1" s="82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4.25" customHeight="1" s="82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4.25" customHeight="1" s="82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4.25" customHeight="1" s="82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4.25" customHeight="1" s="82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4.25" customHeight="1" s="8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4.25" customHeight="1" s="82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4.25" customHeight="1" s="82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4.25" customHeight="1" s="82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4.25" customHeight="1" s="82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4.25" customHeight="1" s="82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4.25" customHeight="1" s="82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4.25" customHeight="1" s="82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4.25" customHeight="1" s="82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4.25" customHeight="1" s="82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4.25" customHeight="1" s="8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4.25" customHeight="1" s="82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4.25" customHeight="1" s="82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4.25" customHeight="1" s="82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4.25" customHeight="1" s="82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4.25" customHeight="1" s="82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4.25" customHeight="1" s="82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4.25" customHeight="1" s="82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4.25" customHeight="1" s="82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4.25" customHeight="1" s="82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4.25" customHeight="1" s="8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4.25" customHeight="1" s="82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4.25" customHeight="1" s="82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4.25" customHeight="1" s="82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4.25" customHeight="1" s="82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4.25" customHeight="1" s="82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4.25" customHeight="1" s="82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4.25" customHeight="1" s="82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4.25" customHeight="1" s="82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4.25" customHeight="1" s="82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4.25" customHeight="1" s="8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4.25" customHeight="1" s="82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4.25" customHeight="1" s="82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4.25" customHeight="1" s="82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4.25" customHeight="1" s="82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4.25" customHeight="1" s="82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4.25" customHeight="1" s="82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4.25" customHeight="1" s="82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4.25" customHeight="1" s="82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4.25" customHeight="1" s="82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4.25" customHeight="1" s="8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4.25" customHeight="1" s="82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4.25" customHeight="1" s="82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4.25" customHeight="1" s="82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4.25" customHeight="1" s="82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4.25" customHeight="1" s="82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4.25" customHeight="1" s="82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4.25" customHeight="1" s="82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4.25" customHeight="1" s="82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4.25" customHeight="1" s="82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4.25" customHeight="1" s="8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4.25" customHeight="1" s="82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4.25" customHeight="1" s="82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4.25" customHeight="1" s="82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4.25" customHeight="1" s="82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4.25" customHeight="1" s="82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4.25" customHeight="1" s="82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4.25" customHeight="1" s="82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4.25" customHeight="1" s="82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4.25" customHeight="1" s="82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4.25" customHeight="1" s="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4.25" customHeight="1" s="82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4.25" customHeight="1" s="82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4.25" customHeight="1" s="82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4.25" customHeight="1" s="82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4.25" customHeight="1" s="82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4.25" customHeight="1" s="82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4.25" customHeight="1" s="82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4.25" customHeight="1" s="82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4.25" customHeight="1" s="82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4.25" customHeight="1" s="8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4.25" customHeight="1" s="82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4.25" customHeight="1" s="82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4.25" customHeight="1" s="82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4.25" customHeight="1" s="82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4.25" customHeight="1" s="82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4.25" customHeight="1" s="82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4.25" customHeight="1" s="82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4.25" customHeight="1" s="82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4.25" customHeight="1" s="82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4.25" customHeight="1" s="8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4.25" customHeight="1" s="82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4.25" customHeight="1" s="82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4.25" customHeight="1" s="82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4.25" customHeight="1" s="82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4.25" customHeight="1" s="82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4.25" customHeight="1" s="82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4.25" customHeight="1" s="82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4.25" customHeight="1" s="82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4.25" customHeight="1" s="82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4.25" customHeight="1" s="8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4.25" customHeight="1" s="82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4.25" customHeight="1" s="82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4.25" customHeight="1" s="82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4.25" customHeight="1" s="82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4.25" customHeight="1" s="82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4.25" customHeight="1" s="82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4.25" customHeight="1" s="82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4.25" customHeight="1" s="82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4.25" customHeight="1" s="82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4.25" customHeight="1" s="8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4.25" customHeight="1" s="82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4.25" customHeight="1" s="82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4.25" customHeight="1" s="82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4.25" customHeight="1" s="82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4.25" customHeight="1" s="82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4.25" customHeight="1" s="82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4.25" customHeight="1" s="82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4.25" customHeight="1" s="82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4.25" customHeight="1" s="82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4.25" customHeight="1" s="8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4.25" customHeight="1" s="82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4.25" customHeight="1" s="82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4.25" customHeight="1" s="82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4.25" customHeight="1" s="82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4.25" customHeight="1" s="82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4.25" customHeight="1" s="82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4.25" customHeight="1" s="82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4.25" customHeight="1" s="82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4.25" customHeight="1" s="82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4.25" customHeight="1" s="8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4.25" customHeight="1" s="82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4.25" customHeight="1" s="82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4.25" customHeight="1" s="82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4.25" customHeight="1" s="82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4.25" customHeight="1" s="82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4.25" customHeight="1" s="82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4.25" customHeight="1" s="82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4.25" customHeight="1" s="82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4.25" customHeight="1" s="82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4.25" customHeight="1" s="8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4.25" customHeight="1" s="82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4.25" customHeight="1" s="82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4.25" customHeight="1" s="82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4.25" customHeight="1" s="82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4.25" customHeight="1" s="82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4.25" customHeight="1" s="82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4.25" customHeight="1" s="82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4.25" customHeight="1" s="82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4.25" customHeight="1" s="82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4.25" customHeight="1" s="8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4.25" customHeight="1" s="82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4.25" customHeight="1" s="82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4.25" customHeight="1" s="82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4.25" customHeight="1" s="82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4.25" customHeight="1" s="82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4.25" customHeight="1" s="82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4.25" customHeight="1" s="82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4.25" customHeight="1" s="82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4.25" customHeight="1" s="82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4.25" customHeight="1" s="8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4.25" customHeight="1" s="82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4.25" customHeight="1" s="82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4.25" customHeight="1" s="82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4.25" customHeight="1" s="82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4.25" customHeight="1" s="82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4.25" customHeight="1" s="82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4.25" customHeight="1" s="82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4.25" customHeight="1" s="82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4.25" customHeight="1" s="82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4.25" customHeight="1" s="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4.25" customHeight="1" s="82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4.25" customHeight="1" s="82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4.25" customHeight="1" s="82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4.25" customHeight="1" s="82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4.25" customHeight="1" s="82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4.25" customHeight="1" s="82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4.25" customHeight="1" s="82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4.25" customHeight="1" s="82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4.25" customHeight="1" s="82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4.25" customHeight="1" s="8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4.25" customHeight="1" s="82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4.25" customHeight="1" s="82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4.25" customHeight="1" s="82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4.25" customHeight="1" s="82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4.25" customHeight="1" s="82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4.25" customHeight="1" s="82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4.25" customHeight="1" s="82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4.25" customHeight="1" s="82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4.25" customHeight="1" s="82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4.25" customHeight="1" s="8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4.25" customHeight="1" s="82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4.25" customHeight="1" s="82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4.25" customHeight="1" s="82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4.25" customHeight="1" s="82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4.25" customHeight="1" s="82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4.25" customHeight="1" s="82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4.25" customHeight="1" s="82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4.25" customHeight="1" s="82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4.25" customHeight="1" s="82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4.25" customHeight="1" s="8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4.25" customHeight="1" s="82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4.25" customHeight="1" s="82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4.25" customHeight="1" s="82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4.25" customHeight="1" s="82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4.25" customHeight="1" s="82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4.25" customHeight="1" s="82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4.25" customHeight="1" s="82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4.25" customHeight="1" s="82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4.25" customHeight="1" s="82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4.25" customHeight="1" s="8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4.25" customHeight="1" s="82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4.25" customHeight="1" s="82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4.25" customHeight="1" s="82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4.25" customHeight="1" s="82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4.25" customHeight="1" s="82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4.25" customHeight="1" s="82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4.25" customHeight="1" s="82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4.25" customHeight="1" s="82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4.25" customHeight="1" s="82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4.25" customHeight="1" s="8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4.25" customHeight="1" s="82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4.25" customHeight="1" s="82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4.25" customHeight="1" s="82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4.25" customHeight="1" s="82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4.25" customHeight="1" s="82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4.25" customHeight="1" s="82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4.25" customHeight="1" s="82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4.25" customHeight="1" s="82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4.25" customHeight="1" s="82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4.25" customHeight="1" s="8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4.25" customHeight="1" s="82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4.25" customHeight="1" s="82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4.25" customHeight="1" s="82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4.25" customHeight="1" s="82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4.25" customHeight="1" s="82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4.25" customHeight="1" s="82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4.25" customHeight="1" s="82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4.25" customHeight="1" s="82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4.25" customHeight="1" s="82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4.25" customHeight="1" s="8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4.25" customHeight="1" s="82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4.25" customHeight="1" s="82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4.25" customHeight="1" s="82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4.25" customHeight="1" s="82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4.25" customHeight="1" s="82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4.25" customHeight="1" s="82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4.25" customHeight="1" s="82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4.25" customHeight="1" s="82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4.25" customHeight="1" s="82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4.25" customHeight="1" s="8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4.25" customHeight="1" s="82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4.25" customHeight="1" s="82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4.25" customHeight="1" s="82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4.25" customHeight="1" s="82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4.25" customHeight="1" s="82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4.25" customHeight="1" s="82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4.25" customHeight="1" s="82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4.25" customHeight="1" s="82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4.25" customHeight="1" s="82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4.25" customHeight="1" s="8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4.25" customHeight="1" s="82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4.25" customHeight="1" s="82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4.25" customHeight="1" s="82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4.25" customHeight="1" s="82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4.25" customHeight="1" s="82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4.25" customHeight="1" s="82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4.25" customHeight="1" s="82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4.25" customHeight="1" s="82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4.25" customHeight="1" s="82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4.25" customHeight="1" s="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4.25" customHeight="1" s="82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4.25" customHeight="1" s="82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4.25" customHeight="1" s="82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4.25" customHeight="1" s="82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4.25" customHeight="1" s="82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4.25" customHeight="1" s="82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4.25" customHeight="1" s="82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4.25" customHeight="1" s="82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4.25" customHeight="1" s="82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4.25" customHeight="1" s="8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4.25" customHeight="1" s="82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4.25" customHeight="1" s="82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4.25" customHeight="1" s="82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4.25" customHeight="1" s="82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4.25" customHeight="1" s="82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4.25" customHeight="1" s="82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4.25" customHeight="1" s="82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4.25" customHeight="1" s="82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4.25" customHeight="1" s="82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4.25" customHeight="1" s="8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4.25" customHeight="1" s="82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4.25" customHeight="1" s="82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4.25" customHeight="1" s="82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4.25" customHeight="1" s="82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4.25" customHeight="1" s="82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4.25" customHeight="1" s="82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4.25" customHeight="1" s="82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4.25" customHeight="1" s="82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4.25" customHeight="1" s="82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4.25" customHeight="1" s="8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4.25" customHeight="1" s="82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4.25" customHeight="1" s="82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4.25" customHeight="1" s="82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4.25" customHeight="1" s="82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4.25" customHeight="1" s="82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4.25" customHeight="1" s="82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4.25" customHeight="1" s="82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4.25" customHeight="1" s="82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4.25" customHeight="1" s="82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4.25" customHeight="1" s="8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4.25" customHeight="1" s="82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4.25" customHeight="1" s="82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4.25" customHeight="1" s="82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4.25" customHeight="1" s="82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4.25" customHeight="1" s="82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4.25" customHeight="1" s="82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4.25" customHeight="1" s="82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4.25" customHeight="1" s="82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4.25" customHeight="1" s="82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4.25" customHeight="1" s="8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4.25" customHeight="1" s="82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4.25" customHeight="1" s="82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4.25" customHeight="1" s="82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4.25" customHeight="1" s="82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4.25" customHeight="1" s="82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4.25" customHeight="1" s="82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4.25" customHeight="1" s="82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4.25" customHeight="1" s="82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4.25" customHeight="1" s="82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4.25" customHeight="1" s="8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4.25" customHeight="1" s="82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4.25" customHeight="1" s="82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4.25" customHeight="1" s="82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4.25" customHeight="1" s="82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4.25" customHeight="1" s="82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4.25" customHeight="1" s="82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4.25" customHeight="1" s="82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4.25" customHeight="1" s="82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4.25" customHeight="1" s="82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4.25" customHeight="1" s="8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4.25" customHeight="1" s="82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4.25" customHeight="1" s="82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4.25" customHeight="1" s="82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4.25" customHeight="1" s="82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4.25" customHeight="1" s="82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4.25" customHeight="1" s="82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4.25" customHeight="1" s="82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4.25" customHeight="1" s="82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4.25" customHeight="1" s="82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4.25" customHeight="1" s="8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4.25" customHeight="1" s="82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4.25" customHeight="1" s="82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4.25" customHeight="1" s="82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4.25" customHeight="1" s="82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4.25" customHeight="1" s="82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4.25" customHeight="1" s="82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4.25" customHeight="1" s="82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4.25" customHeight="1" s="82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4.25" customHeight="1" s="82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4.25" customHeight="1" s="8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4.25" customHeight="1" s="82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4.25" customHeight="1" s="82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4.25" customHeight="1" s="82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4.25" customHeight="1" s="82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4.25" customHeight="1" s="82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4.25" customHeight="1" s="82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4.25" customHeight="1" s="82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4.25" customHeight="1" s="82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4.25" customHeight="1" s="82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4.25" customHeight="1" s="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4.25" customHeight="1" s="82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4.25" customHeight="1" s="82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4.25" customHeight="1" s="82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4.25" customHeight="1" s="82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4.25" customHeight="1" s="82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4.25" customHeight="1" s="82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4.25" customHeight="1" s="82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4.25" customHeight="1" s="82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4.25" customHeight="1" s="82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4.25" customHeight="1" s="8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4.25" customHeight="1" s="82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4.25" customHeight="1" s="82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4.25" customHeight="1" s="82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4.25" customHeight="1" s="82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4.25" customHeight="1" s="82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4.25" customHeight="1" s="82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4.25" customHeight="1" s="82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4.25" customHeight="1" s="82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4.25" customHeight="1" s="82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4.25" customHeight="1" s="8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4.25" customHeight="1" s="82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4.25" customHeight="1" s="82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4.25" customHeight="1" s="82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4.25" customHeight="1" s="82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4.25" customHeight="1" s="82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4.25" customHeight="1" s="82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4.25" customHeight="1" s="82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4.25" customHeight="1" s="82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4.25" customHeight="1" s="82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4.25" customHeight="1" s="8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4.25" customHeight="1" s="82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4.25" customHeight="1" s="82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4.25" customHeight="1" s="82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4.25" customHeight="1" s="82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4.25" customHeight="1" s="82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4.25" customHeight="1" s="82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4.25" customHeight="1" s="82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4.25" customHeight="1" s="82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4.25" customHeight="1" s="82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4.25" customHeight="1" s="8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4.25" customHeight="1" s="82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4.25" customHeight="1" s="82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4.25" customHeight="1" s="82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4.25" customHeight="1" s="82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4.25" customHeight="1" s="82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4.25" customHeight="1" s="82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4.25" customHeight="1" s="82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4.25" customHeight="1" s="82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4.25" customHeight="1" s="82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4.25" customHeight="1" s="8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4.25" customHeight="1" s="82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4.25" customHeight="1" s="82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4.25" customHeight="1" s="82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4.25" customHeight="1" s="82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4.25" customHeight="1" s="82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4.25" customHeight="1" s="82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4.25" customHeight="1" s="82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4.25" customHeight="1" s="82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4.25" customHeight="1" s="82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4.25" customHeight="1" s="8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4.25" customHeight="1" s="82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4.25" customHeight="1" s="82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4.25" customHeight="1" s="82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4.25" customHeight="1" s="82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4.25" customHeight="1" s="82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4.25" customHeight="1" s="82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4.25" customHeight="1" s="82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4.25" customHeight="1" s="82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4.25" customHeight="1" s="82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4.25" customHeight="1" s="8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4.25" customHeight="1" s="82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4.25" customHeight="1" s="82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4.25" customHeight="1" s="82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4.25" customHeight="1" s="82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4.25" customHeight="1" s="82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4.25" customHeight="1" s="82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4.25" customHeight="1" s="82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4.25" customHeight="1" s="82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4.25" customHeight="1" s="82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4.25" customHeight="1" s="8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4.25" customHeight="1" s="82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4.25" customHeight="1" s="82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4.25" customHeight="1" s="82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4.25" customHeight="1" s="82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4.25" customHeight="1" s="82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4.25" customHeight="1" s="82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4.25" customHeight="1" s="82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4.25" customHeight="1" s="82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4.25" customHeight="1" s="82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4.25" customHeight="1" s="8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4.25" customHeight="1" s="82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4.25" customHeight="1" s="82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4.25" customHeight="1" s="82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4.25" customHeight="1" s="82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4.25" customHeight="1" s="82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4.25" customHeight="1" s="82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4.25" customHeight="1" s="82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4.25" customHeight="1" s="82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4.25" customHeight="1" s="82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4.25" customHeight="1" s="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4.25" customHeight="1" s="82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4.25" customHeight="1" s="82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4.25" customHeight="1" s="82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4.25" customHeight="1" s="82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4.25" customHeight="1" s="82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4.25" customHeight="1" s="82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4.25" customHeight="1" s="82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4.25" customHeight="1" s="82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4.25" customHeight="1" s="82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4.25" customHeight="1" s="8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4.25" customHeight="1" s="82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4.25" customHeight="1" s="82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4.25" customHeight="1" s="82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4.25" customHeight="1" s="82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4.25" customHeight="1" s="82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4.25" customHeight="1" s="82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4.25" customHeight="1" s="82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4.25" customHeight="1" s="82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4.25" customHeight="1" s="82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4.25" customHeight="1" s="8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4.25" customHeight="1" s="82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4.25" customHeight="1" s="82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4.25" customHeight="1" s="82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4.25" customHeight="1" s="82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4.25" customHeight="1" s="82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4.25" customHeight="1" s="82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4.25" customHeight="1" s="82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4.25" customHeight="1" s="82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4.25" customHeight="1" s="82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4.25" customHeight="1" s="8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4.25" customHeight="1" s="82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4.25" customHeight="1" s="82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4.25" customHeight="1" s="82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4.25" customHeight="1" s="82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4.25" customHeight="1" s="82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4.25" customHeight="1" s="82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4.25" customHeight="1" s="82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4.25" customHeight="1" s="82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4.25" customHeight="1" s="82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4.25" customHeight="1" s="8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4.25" customHeight="1" s="82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4.25" customHeight="1" s="82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4.25" customHeight="1" s="82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4.25" customHeight="1" s="82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4.25" customHeight="1" s="82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4.25" customHeight="1" s="82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4.25" customHeight="1" s="82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4.25" customHeight="1" s="82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4.25" customHeight="1" s="82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4.25" customHeight="1" s="8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4.25" customHeight="1" s="82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4.25" customHeight="1" s="82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4.25" customHeight="1" s="82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4.25" customHeight="1" s="82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4.25" customHeight="1" s="82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4.25" customHeight="1" s="82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4.25" customHeight="1" s="82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4.25" customHeight="1" s="82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4.25" customHeight="1" s="82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4.25" customHeight="1" s="8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4.25" customHeight="1" s="82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4.25" customHeight="1" s="82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4.25" customHeight="1" s="82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4.25" customHeight="1" s="82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4.25" customHeight="1" s="82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4.25" customHeight="1" s="82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4.25" customHeight="1" s="82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4.25" customHeight="1" s="82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4.25" customHeight="1" s="82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4.25" customHeight="1" s="8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4.25" customHeight="1" s="82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4.25" customHeight="1" s="82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4.25" customHeight="1" s="82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4.25" customHeight="1" s="82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4.25" customHeight="1" s="82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4.25" customHeight="1" s="82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4.25" customHeight="1" s="82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4.25" customHeight="1" s="82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4.25" customHeight="1" s="82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4.25" customHeight="1" s="8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4.25" customHeight="1" s="82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4.25" customHeight="1" s="82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4.25" customHeight="1" s="82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4.25" customHeight="1" s="82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4.25" customHeight="1" s="82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4.25" customHeight="1" s="82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4.25" customHeight="1" s="82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4.25" customHeight="1" s="82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4.25" customHeight="1" s="82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4.25" customHeight="1" s="8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4.25" customHeight="1" s="82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4.25" customHeight="1" s="82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4.25" customHeight="1" s="82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4.25" customHeight="1" s="82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4.25" customHeight="1" s="82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4.25" customHeight="1" s="82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4.25" customHeight="1" s="82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4.25" customHeight="1" s="82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4.25" customHeight="1" s="82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4.25" customHeight="1" s="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4.25" customHeight="1" s="82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4.25" customHeight="1" s="82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4.25" customHeight="1" s="82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4.25" customHeight="1" s="82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4.25" customHeight="1" s="82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4.25" customHeight="1" s="82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4.25" customHeight="1" s="82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4.25" customHeight="1" s="82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4.25" customHeight="1" s="82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4.25" customHeight="1" s="8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4.25" customHeight="1" s="82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4.25" customHeight="1" s="82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4.25" customHeight="1" s="82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4.25" customHeight="1" s="82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4.25" customHeight="1" s="82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4.25" customHeight="1" s="82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4.25" customHeight="1" s="82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4.25" customHeight="1" s="82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4.25" customHeight="1" s="82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4.25" customHeight="1" s="8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4.25" customHeight="1" s="82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4.25" customHeight="1" s="82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4.25" customHeight="1" s="82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4.25" customHeight="1" s="82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4.25" customHeight="1" s="82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4.25" customHeight="1" s="82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4.25" customHeight="1" s="82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4.25" customHeight="1" s="82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4.25" customHeight="1" s="82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4.25" customHeight="1" s="8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4.25" customHeight="1" s="82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4.25" customHeight="1" s="82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4.25" customHeight="1" s="82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4.25" customHeight="1" s="82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4.25" customHeight="1" s="82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4.25" customHeight="1" s="82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4.25" customHeight="1" s="82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4.25" customHeight="1" s="82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4.25" customHeight="1" s="82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4.25" customHeight="1" s="8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4.25" customHeight="1" s="82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4.25" customHeight="1" s="82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4.25" customHeight="1" s="82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4.25" customHeight="1" s="82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4.25" customHeight="1" s="82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4.25" customHeight="1" s="82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4.25" customHeight="1" s="82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4.25" customHeight="1" s="82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4.25" customHeight="1" s="82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4.25" customHeight="1" s="8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4.25" customHeight="1" s="82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4.25" customHeight="1" s="82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4.25" customHeight="1" s="82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4.25" customHeight="1" s="82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4.25" customHeight="1" s="82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4.25" customHeight="1" s="82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4.25" customHeight="1" s="82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4.25" customHeight="1" s="82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4.25" customHeight="1" s="82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4.25" customHeight="1" s="8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4.25" customHeight="1" s="82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4.25" customHeight="1" s="82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4.25" customHeight="1" s="82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4.25" customHeight="1" s="82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4.25" customHeight="1" s="82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4.25" customHeight="1" s="82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4.25" customHeight="1" s="82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4.25" customHeight="1" s="82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4.25" customHeight="1" s="82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4.25" customHeight="1" s="8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4.25" customHeight="1" s="82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4.25" customHeight="1" s="82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4.25" customHeight="1" s="82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4.25" customHeight="1" s="82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4.25" customHeight="1" s="82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4.25" customHeight="1" s="82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4.25" customHeight="1" s="82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4.25" customHeight="1" s="82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4.25" customHeight="1" s="82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4.25" customHeight="1" s="8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4.25" customHeight="1" s="82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4.25" customHeight="1" s="82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4.25" customHeight="1" s="82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4.25" customHeight="1" s="82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4.25" customHeight="1" s="82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4.25" customHeight="1" s="82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4.25" customHeight="1" s="82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4.25" customHeight="1" s="82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4.25" customHeight="1" s="82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4.25" customHeight="1" s="82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4.25" customHeight="1" s="82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4.25" customHeight="1" s="82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4.25" customHeight="1" s="82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4.25" customHeight="1" s="82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4.25" customHeight="1" s="82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4.25" customHeight="1" s="82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4.25" customHeight="1" s="82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4.25" customHeight="1" s="82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4.25" customHeight="1" s="82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4.25" customHeight="1" s="82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4.25" customHeight="1" s="82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4.25" customHeight="1" s="82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4.25" customHeight="1" s="82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4.25" customHeight="1" s="82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4.25" customHeight="1" s="82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4.25" customHeight="1" s="82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4.25" customHeight="1" s="82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4.25" customHeight="1" s="82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4.25" customHeight="1" s="82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4.25" customHeight="1" s="82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4.25" customHeight="1" s="82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4.25" customHeight="1" s="82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4.25" customHeight="1" s="82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4.25" customHeight="1" s="82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4.25" customHeight="1" s="82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4.25" customHeight="1" s="82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4.25" customHeight="1" s="82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4.25" customHeight="1" s="82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mergeCells count="5">
    <mergeCell ref="A26:B26"/>
    <mergeCell ref="A19:B19"/>
    <mergeCell ref="A1:B1"/>
    <mergeCell ref="A3:B3"/>
    <mergeCell ref="A12:B1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C00000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3.43" customWidth="1" style="82" min="1" max="1"/>
    <col width="18.71" customWidth="1" style="82" min="2" max="3"/>
    <col width="16.71" customWidth="1" style="82" min="4" max="5"/>
    <col width="18.29" customWidth="1" style="82" min="6" max="6"/>
    <col width="14.71" customWidth="1" style="82" min="7" max="8"/>
    <col width="8.710000000000001" customWidth="1" style="82" min="9" max="26"/>
  </cols>
  <sheetData>
    <row r="1" ht="31.5" customHeight="1" s="82">
      <c r="A1" s="83" t="inlineStr">
        <is>
          <t>Investment Portfolio — Executive Dashboard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4.25" customHeight="1" s="8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1.75" customHeight="1" s="82">
      <c r="A3" s="85" t="inlineStr">
        <is>
          <t>📊 PORTFOLIO SUMMARY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18" customHeight="1" s="82">
      <c r="A4" s="86" t="inlineStr">
        <is>
          <t>Total Stock Value (₹)</t>
        </is>
      </c>
      <c r="B4" s="87" t="n"/>
      <c r="C4" s="86" t="inlineStr">
        <is>
          <t>Total MF Value (₹)</t>
        </is>
      </c>
      <c r="D4" s="87" t="n"/>
      <c r="E4" s="86" t="inlineStr">
        <is>
          <t>Combined Portfolio (₹)</t>
        </is>
      </c>
      <c r="F4" s="87" t="n"/>
      <c r="G4" s="86" t="inlineStr">
        <is>
          <t>Total Unrealised P&amp;L (₹)</t>
        </is>
      </c>
      <c r="H4" s="87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 s="82">
      <c r="A5" s="88">
        <f>'📥 Stock Data Input'!K54</f>
        <v/>
      </c>
      <c r="B5" s="87" t="n"/>
      <c r="C5" s="88">
        <f>'📥 MF Data Input'!L44</f>
        <v/>
      </c>
      <c r="D5" s="87" t="n"/>
      <c r="E5" s="88">
        <f>'📥 Stock Data Input'!K54+'📥 MF Data Input'!L44</f>
        <v/>
      </c>
      <c r="F5" s="87" t="n"/>
      <c r="G5" s="88">
        <f>'📥 Stock Data Input'!L54+'📥 MF Data Input'!M44</f>
        <v/>
      </c>
      <c r="H5" s="87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7.5" customHeight="1" s="82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8" customHeight="1" s="82">
      <c r="A7" s="86" t="inlineStr">
        <is>
          <t>Stock Invested (₹)</t>
        </is>
      </c>
      <c r="B7" s="87" t="n"/>
      <c r="C7" s="86" t="inlineStr">
        <is>
          <t>MF Invested (₹)</t>
        </is>
      </c>
      <c r="D7" s="87" t="n"/>
      <c r="E7" s="86" t="inlineStr">
        <is>
          <t>Total Invested (₹)</t>
        </is>
      </c>
      <c r="F7" s="87" t="n"/>
      <c r="G7" s="86" t="inlineStr">
        <is>
          <t>Overall Return %</t>
        </is>
      </c>
      <c r="H7" s="87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 s="82">
      <c r="A8" s="88">
        <f>'📥 Stock Data Input'!J54</f>
        <v/>
      </c>
      <c r="B8" s="87" t="n"/>
      <c r="C8" s="88">
        <f>'📥 MF Data Input'!K44</f>
        <v/>
      </c>
      <c r="D8" s="87" t="n"/>
      <c r="E8" s="88">
        <f>'📥 Stock Data Input'!J54+'📥 MF Data Input'!K44</f>
        <v/>
      </c>
      <c r="F8" s="87" t="n"/>
      <c r="G8" s="89">
        <f>IFERROR(('📥 Stock Data Input'!K54+'📥 MF Data Input'!L44-'📥 Stock Data Input'!J54-'📥 MF Data Input'!K44)/('📥 Stock Data Input'!J54+'📥 MF Data Input'!K44),0)</f>
        <v/>
      </c>
      <c r="H8" s="87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7.5" customHeight="1" s="82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1.75" customHeight="1" s="82">
      <c r="A10" s="85" t="inlineStr">
        <is>
          <t>🥧 ASSET ALLOCATION</t>
        </is>
      </c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8.5" customHeight="1" s="82">
      <c r="A11" s="34" t="inlineStr">
        <is>
          <t>Asset Class</t>
        </is>
      </c>
      <c r="B11" s="34" t="inlineStr">
        <is>
          <t>Invested (₹)</t>
        </is>
      </c>
      <c r="C11" s="34" t="inlineStr">
        <is>
          <t>Current Value (₹)</t>
        </is>
      </c>
      <c r="D11" s="34" t="inlineStr">
        <is>
          <t>P&amp;L (₹)</t>
        </is>
      </c>
      <c r="E11" s="34" t="inlineStr">
        <is>
          <t>Return %</t>
        </is>
      </c>
      <c r="F11" s="34" t="inlineStr">
        <is>
          <t>% of Total Portfolio</t>
        </is>
      </c>
      <c r="G11" s="34" t="n"/>
      <c r="H11" s="34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5.25" customHeight="1" s="82">
      <c r="A12" s="16" t="inlineStr">
        <is>
          <t>Equities (Stocks)</t>
        </is>
      </c>
      <c r="B12" s="17">
        <f>'📥 Stock Data Input'!J54</f>
        <v/>
      </c>
      <c r="C12" s="17">
        <f>'📥 Stock Data Input'!K54</f>
        <v/>
      </c>
      <c r="D12" s="17">
        <f>IFERROR(C12-B12,0)</f>
        <v/>
      </c>
      <c r="E12" s="18">
        <f>IFERROR((C12-B12)/B12,0)</f>
        <v/>
      </c>
      <c r="F12" s="18">
        <f>IFERROR(C12/(C12+C13),0)</f>
        <v/>
      </c>
      <c r="G12" s="16" t="n"/>
      <c r="H12" s="16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1" customHeight="1" s="82">
      <c r="A13" s="19" t="inlineStr">
        <is>
          <t>Mutual Funds</t>
        </is>
      </c>
      <c r="B13" s="20">
        <f>'📥 MF Data Input'!K44</f>
        <v/>
      </c>
      <c r="C13" s="20">
        <f>'📥 MF Data Input'!L44</f>
        <v/>
      </c>
      <c r="D13" s="20">
        <f>IFERROR(C13-B13,0)</f>
        <v/>
      </c>
      <c r="E13" s="21">
        <f>IFERROR((C13-B13)/B13,0)</f>
        <v/>
      </c>
      <c r="F13" s="21">
        <f>IFERROR(C13/(C12+C13),0)</f>
        <v/>
      </c>
      <c r="G13" s="19" t="n"/>
      <c r="H13" s="19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8" customHeight="1" s="82">
      <c r="A14" s="34" t="inlineStr">
        <is>
          <t>TOTAL</t>
        </is>
      </c>
      <c r="B14" s="22">
        <f>SUM(B12:B13)</f>
        <v/>
      </c>
      <c r="C14" s="22">
        <f>SUM(C12:C13)</f>
        <v/>
      </c>
      <c r="D14" s="22">
        <f>SUM(D12:D13)</f>
        <v/>
      </c>
      <c r="E14" s="23">
        <f>IFERROR((C14-B14)/B14,0)</f>
        <v/>
      </c>
      <c r="F14" s="23">
        <f>1</f>
        <v/>
      </c>
      <c r="G14" s="34" t="n"/>
      <c r="H14" s="34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7.5" customHeight="1" s="82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1.75" customHeight="1" s="82">
      <c r="A16" s="85" t="inlineStr">
        <is>
          <t>🏆 TOP 5 STOCK PERFORMERS (by Return %)</t>
        </is>
      </c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9.5" customHeight="1" s="82">
      <c r="A17" s="34" t="inlineStr">
        <is>
          <t>Rank</t>
        </is>
      </c>
      <c r="B17" s="34" t="inlineStr">
        <is>
          <t>Scrip Name</t>
        </is>
      </c>
      <c r="C17" s="34" t="inlineStr">
        <is>
          <t>Sector</t>
        </is>
      </c>
      <c r="D17" s="34" t="inlineStr">
        <is>
          <t>Qty</t>
        </is>
      </c>
      <c r="E17" s="34" t="inlineStr">
        <is>
          <t>Invested (₹)</t>
        </is>
      </c>
      <c r="F17" s="34" t="inlineStr">
        <is>
          <t>Current (₹)</t>
        </is>
      </c>
      <c r="G17" s="34" t="inlineStr">
        <is>
          <t>P&amp;L (₹)</t>
        </is>
      </c>
      <c r="H17" s="34" t="inlineStr">
        <is>
          <t>Return %</t>
        </is>
      </c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30.75" customHeight="1" s="82">
      <c r="A18" s="7" t="inlineStr">
        <is>
          <t>#1</t>
        </is>
      </c>
      <c r="B18" s="19">
        <f t="array" ref="B18">IFERROR(INDEX('📥 Stock Data Input'!$A$4:$A$53,MATCH(LARGE('📥 Stock Data Input'!$M$4:$M$53,1),'📥 Stock Data Input'!$M$4:$M$53,0)),"")</f>
        <v/>
      </c>
      <c r="C18" s="19">
        <f t="array" ref="C18">IFERROR(INDEX('📥 Stock Data Input'!$C$4:$C$53,MATCH(LARGE('📥 Stock Data Input'!$M$4:$M$53,1),'📥 Stock Data Input'!$M$4:$M$53,0)),"")</f>
        <v/>
      </c>
      <c r="D18" s="20">
        <f t="array" ref="D18">IFERROR(INDEX('📥 Stock Data Input'!$D$4:$D$53,MATCH(LARGE('📥 Stock Data Input'!$M$4:$M$53,1),'📥 Stock Data Input'!$M$4:$M$53,0)),"")</f>
        <v/>
      </c>
      <c r="E18" s="20">
        <f t="array" ref="E18">IFERROR(INDEX('📥 Stock Data Input'!$J$4:$J$53,MATCH(LARGE('📥 Stock Data Input'!$M$4:$M$53,1),'📥 Stock Data Input'!$M$4:$M$53,0)),"")</f>
        <v/>
      </c>
      <c r="F18" s="20">
        <f t="array" ref="F18">IFERROR(INDEX('📥 Stock Data Input'!$K$4:$K$53,MATCH(LARGE('📥 Stock Data Input'!$M$4:$M$53,1),'📥 Stock Data Input'!$M$4:$M$53,0)),"")</f>
        <v/>
      </c>
      <c r="G18" s="20">
        <f t="array" ref="G18">IFERROR(INDEX('📥 Stock Data Input'!$L$4:$L$53,MATCH(LARGE('📥 Stock Data Input'!$M$4:$M$53,1),'📥 Stock Data Input'!$M$4:$M$53,0)),"")</f>
        <v/>
      </c>
      <c r="H18" s="24">
        <f>IFERROR(LARGE('📥 Stock Data Input'!$M$4:$M$53,1),"")</f>
        <v/>
      </c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24" customHeight="1" s="82">
      <c r="A19" s="7" t="inlineStr">
        <is>
          <t>#2</t>
        </is>
      </c>
      <c r="B19" s="19">
        <f t="array" ref="B19">IFERROR(INDEX('📥 Stock Data Input'!$A$4:$A$53,MATCH(LARGE('📥 Stock Data Input'!$M$4:$M$53,2),'📥 Stock Data Input'!$M$4:$M$53,0)),"")</f>
        <v/>
      </c>
      <c r="C19" s="19">
        <f t="array" ref="C19">IFERROR(INDEX('📥 Stock Data Input'!$C$4:$C$53,MATCH(LARGE('📥 Stock Data Input'!$M$4:$M$53,2),'📥 Stock Data Input'!$M$4:$M$53,0)),"")</f>
        <v/>
      </c>
      <c r="D19" s="20">
        <f t="array" ref="D19">IFERROR(INDEX('📥 Stock Data Input'!$D$4:$D$53,MATCH(LARGE('📥 Stock Data Input'!$M$4:$M$53,2),'📥 Stock Data Input'!$M$4:$M$53,0)),"")</f>
        <v/>
      </c>
      <c r="E19" s="20">
        <f t="array" ref="E19">IFERROR(INDEX('📥 Stock Data Input'!$J$4:$J$53,MATCH(LARGE('📥 Stock Data Input'!$M$4:$M$53,2),'📥 Stock Data Input'!$M$4:$M$53,0)),"")</f>
        <v/>
      </c>
      <c r="F19" s="20">
        <f t="array" ref="F19">IFERROR(INDEX('📥 Stock Data Input'!$K$4:$K$53,MATCH(LARGE('📥 Stock Data Input'!$M$4:$M$53,2),'📥 Stock Data Input'!$M$4:$M$53,0)),"")</f>
        <v/>
      </c>
      <c r="G19" s="20">
        <f t="array" ref="G19">IFERROR(INDEX('📥 Stock Data Input'!$L$4:$L$53,MATCH(LARGE('📥 Stock Data Input'!$M$4:$M$53,2),'📥 Stock Data Input'!$M$4:$M$53,0)),"")</f>
        <v/>
      </c>
      <c r="H19" s="24">
        <f>IFERROR(LARGE('📥 Stock Data Input'!$M$4:$M$53,2),"")</f>
        <v/>
      </c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22.5" customHeight="1" s="82">
      <c r="A20" s="7" t="inlineStr">
        <is>
          <t>#3</t>
        </is>
      </c>
      <c r="B20" s="19">
        <f t="array" ref="B20">IFERROR(INDEX('📥 Stock Data Input'!$A$4:$A$53,MATCH(LARGE('📥 Stock Data Input'!$M$4:$M$53,3),'📥 Stock Data Input'!$M$4:$M$53,0)),"")</f>
        <v/>
      </c>
      <c r="C20" s="19">
        <f t="array" ref="C20">IFERROR(INDEX('📥 Stock Data Input'!$C$4:$C$53,MATCH(LARGE('📥 Stock Data Input'!$M$4:$M$53,3),'📥 Stock Data Input'!$M$4:$M$53,0)),"")</f>
        <v/>
      </c>
      <c r="D20" s="20">
        <f t="array" ref="D20">IFERROR(INDEX('📥 Stock Data Input'!$D$4:$D$53,MATCH(LARGE('📥 Stock Data Input'!$M$4:$M$53,3),'📥 Stock Data Input'!$M$4:$M$53,0)),"")</f>
        <v/>
      </c>
      <c r="E20" s="20">
        <f t="array" ref="E20">IFERROR(INDEX('📥 Stock Data Input'!$J$4:$J$53,MATCH(LARGE('📥 Stock Data Input'!$M$4:$M$53,3),'📥 Stock Data Input'!$M$4:$M$53,0)),"")</f>
        <v/>
      </c>
      <c r="F20" s="20">
        <f t="array" ref="F20">IFERROR(INDEX('📥 Stock Data Input'!$K$4:$K$53,MATCH(LARGE('📥 Stock Data Input'!$M$4:$M$53,3),'📥 Stock Data Input'!$M$4:$M$53,0)),"")</f>
        <v/>
      </c>
      <c r="G20" s="20">
        <f t="array" ref="G20">IFERROR(INDEX('📥 Stock Data Input'!$L$4:$L$53,MATCH(LARGE('📥 Stock Data Input'!$M$4:$M$53,3),'📥 Stock Data Input'!$M$4:$M$53,0)),"")</f>
        <v/>
      </c>
      <c r="H20" s="24">
        <f>IFERROR(LARGE('📥 Stock Data Input'!$M$4:$M$53,3),"")</f>
        <v/>
      </c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23.25" customHeight="1" s="82">
      <c r="A21" s="7" t="inlineStr">
        <is>
          <t>#4</t>
        </is>
      </c>
      <c r="B21" s="19">
        <f t="array" ref="B21">IFERROR(INDEX('📥 Stock Data Input'!$A$4:$A$53,MATCH(LARGE('📥 Stock Data Input'!$M$4:$M$53,4),'📥 Stock Data Input'!$M$4:$M$53,0)),"")</f>
        <v/>
      </c>
      <c r="C21" s="19">
        <f t="array" ref="C21">IFERROR(INDEX('📥 Stock Data Input'!$C$4:$C$53,MATCH(LARGE('📥 Stock Data Input'!$M$4:$M$53,4),'📥 Stock Data Input'!$M$4:$M$53,0)),"")</f>
        <v/>
      </c>
      <c r="D21" s="20">
        <f t="array" ref="D21">IFERROR(INDEX('📥 Stock Data Input'!$D$4:$D$53,MATCH(LARGE('📥 Stock Data Input'!$M$4:$M$53,4),'📥 Stock Data Input'!$M$4:$M$53,0)),"")</f>
        <v/>
      </c>
      <c r="E21" s="20">
        <f t="array" ref="E21">IFERROR(INDEX('📥 Stock Data Input'!$J$4:$J$53,MATCH(LARGE('📥 Stock Data Input'!$M$4:$M$53,4),'📥 Stock Data Input'!$M$4:$M$53,0)),"")</f>
        <v/>
      </c>
      <c r="F21" s="20">
        <f t="array" ref="F21">IFERROR(INDEX('📥 Stock Data Input'!$K$4:$K$53,MATCH(LARGE('📥 Stock Data Input'!$M$4:$M$53,4),'📥 Stock Data Input'!$M$4:$M$53,0)),"")</f>
        <v/>
      </c>
      <c r="G21" s="20">
        <f t="array" ref="G21">IFERROR(INDEX('📥 Stock Data Input'!$L$4:$L$53,MATCH(LARGE('📥 Stock Data Input'!$M$4:$M$53,4),'📥 Stock Data Input'!$M$4:$M$53,0)),"")</f>
        <v/>
      </c>
      <c r="H21" s="24">
        <f>IFERROR(LARGE('📥 Stock Data Input'!$M$4:$M$53,4),"")</f>
        <v/>
      </c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6.5" customHeight="1" s="82">
      <c r="A22" s="7" t="inlineStr">
        <is>
          <t>#5</t>
        </is>
      </c>
      <c r="B22" s="19">
        <f t="array" ref="B22">IFERROR(INDEX('📥 Stock Data Input'!$A$4:$A$53,MATCH(LARGE('📥 Stock Data Input'!$M$4:$M$53,5),'📥 Stock Data Input'!$M$4:$M$53,0)),"")</f>
        <v/>
      </c>
      <c r="C22" s="19">
        <f t="array" ref="C22">IFERROR(INDEX('📥 Stock Data Input'!$C$4:$C$53,MATCH(LARGE('📥 Stock Data Input'!$M$4:$M$53,5),'📥 Stock Data Input'!$M$4:$M$53,0)),"")</f>
        <v/>
      </c>
      <c r="D22" s="20">
        <f t="array" ref="D22">IFERROR(INDEX('📥 Stock Data Input'!$D$4:$D$53,MATCH(LARGE('📥 Stock Data Input'!$M$4:$M$53,5),'📥 Stock Data Input'!$M$4:$M$53,0)),"")</f>
        <v/>
      </c>
      <c r="E22" s="20">
        <f t="array" ref="E22">IFERROR(INDEX('📥 Stock Data Input'!$J$4:$J$53,MATCH(LARGE('📥 Stock Data Input'!$M$4:$M$53,5),'📥 Stock Data Input'!$M$4:$M$53,0)),"")</f>
        <v/>
      </c>
      <c r="F22" s="20">
        <f t="array" ref="F22">IFERROR(INDEX('📥 Stock Data Input'!$K$4:$K$53,MATCH(LARGE('📥 Stock Data Input'!$M$4:$M$53,5),'📥 Stock Data Input'!$M$4:$M$53,0)),"")</f>
        <v/>
      </c>
      <c r="G22" s="20">
        <f t="array" ref="G22">IFERROR(INDEX('📥 Stock Data Input'!$L$4:$L$53,MATCH(LARGE('📥 Stock Data Input'!$M$4:$M$53,5),'📥 Stock Data Input'!$M$4:$M$53,0)),"")</f>
        <v/>
      </c>
      <c r="H22" s="24">
        <f>IFERROR(LARGE('📥 Stock Data Input'!$M$4:$M$53,5),"")</f>
        <v/>
      </c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7.5" customHeight="1" s="82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21.75" customHeight="1" s="82">
      <c r="A24" s="90" t="inlineStr">
        <is>
          <t>📉 BOTTOM 5 STOCK PERFORMERS (by Return %)</t>
        </is>
      </c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9.5" customHeight="1" s="82">
      <c r="A25" s="34" t="inlineStr">
        <is>
          <t>Rank</t>
        </is>
      </c>
      <c r="B25" s="34" t="inlineStr">
        <is>
          <t>Scrip Name</t>
        </is>
      </c>
      <c r="C25" s="34" t="inlineStr">
        <is>
          <t>Sector</t>
        </is>
      </c>
      <c r="D25" s="34" t="inlineStr">
        <is>
          <t>Qty</t>
        </is>
      </c>
      <c r="E25" s="34" t="inlineStr">
        <is>
          <t>Invested (₹)</t>
        </is>
      </c>
      <c r="F25" s="34" t="inlineStr">
        <is>
          <t>Current (₹)</t>
        </is>
      </c>
      <c r="G25" s="34" t="inlineStr">
        <is>
          <t>P&amp;L (₹)</t>
        </is>
      </c>
      <c r="H25" s="34" t="inlineStr">
        <is>
          <t>Return %</t>
        </is>
      </c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25.5" customHeight="1" s="82">
      <c r="A26" s="26" t="inlineStr">
        <is>
          <t>#1</t>
        </is>
      </c>
      <c r="B26" s="27">
        <f t="array" ref="B26">IFERROR(INDEX('📥 Stock Data Input'!$A$4:$A$53,MATCH(SMALL('📥 Stock Data Input'!$M$4:$M$53,1),'📥 Stock Data Input'!$M$4:$M$53,0)),"")</f>
        <v/>
      </c>
      <c r="C26" s="27">
        <f t="array" ref="C26">IFERROR(INDEX('📥 Stock Data Input'!$C$4:$C$53,MATCH(SMALL('📥 Stock Data Input'!$M$4:$M$53,1),'📥 Stock Data Input'!$M$4:$M$53,0)),"")</f>
        <v/>
      </c>
      <c r="D26" s="28">
        <f t="array" ref="D26">IFERROR(INDEX('📥 Stock Data Input'!$D$4:$D$53,MATCH(SMALL('📥 Stock Data Input'!$M$4:$M$53,1),'📥 Stock Data Input'!$M$4:$M$53,0)),"")</f>
        <v/>
      </c>
      <c r="E26" s="28">
        <f t="array" ref="E26">IFERROR(INDEX('📥 Stock Data Input'!$J$4:$J$53,MATCH(SMALL('📥 Stock Data Input'!$M$4:$M$53,1),'📥 Stock Data Input'!$M$4:$M$53,0)),"")</f>
        <v/>
      </c>
      <c r="F26" s="28">
        <f t="array" ref="F26">IFERROR(INDEX('📥 Stock Data Input'!$K$4:$K$53,MATCH(SMALL('📥 Stock Data Input'!$M$4:$M$53,1),'📥 Stock Data Input'!$M$4:$M$53,0)),"")</f>
        <v/>
      </c>
      <c r="G26" s="28">
        <f t="array" ref="G26">IFERROR(INDEX('📥 Stock Data Input'!$L$4:$L$53,MATCH(SMALL('📥 Stock Data Input'!$M$4:$M$53,1),'📥 Stock Data Input'!$M$4:$M$53,0)),"")</f>
        <v/>
      </c>
      <c r="H26" s="29">
        <f>IFERROR(SMALL('📥 Stock Data Input'!$M$4:$M$53,1),"")</f>
        <v/>
      </c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29.25" customHeight="1" s="82">
      <c r="A27" s="26" t="inlineStr">
        <is>
          <t>#2</t>
        </is>
      </c>
      <c r="B27" s="27">
        <f t="array" ref="B27">IFERROR(INDEX('📥 Stock Data Input'!$A$4:$A$53,MATCH(SMALL('📥 Stock Data Input'!$M$4:$M$53,2),'📥 Stock Data Input'!$M$4:$M$53,0)),"")</f>
        <v/>
      </c>
      <c r="C27" s="27">
        <f t="array" ref="C27">IFERROR(INDEX('📥 Stock Data Input'!$C$4:$C$53,MATCH(SMALL('📥 Stock Data Input'!$M$4:$M$53,2),'📥 Stock Data Input'!$M$4:$M$53,0)),"")</f>
        <v/>
      </c>
      <c r="D27" s="28">
        <f t="array" ref="D27">IFERROR(INDEX('📥 Stock Data Input'!$D$4:$D$53,MATCH(SMALL('📥 Stock Data Input'!$M$4:$M$53,2),'📥 Stock Data Input'!$M$4:$M$53,0)),"")</f>
        <v/>
      </c>
      <c r="E27" s="28">
        <f t="array" ref="E27">IFERROR(INDEX('📥 Stock Data Input'!$J$4:$J$53,MATCH(SMALL('📥 Stock Data Input'!$M$4:$M$53,2),'📥 Stock Data Input'!$M$4:$M$53,0)),"")</f>
        <v/>
      </c>
      <c r="F27" s="28">
        <f t="array" ref="F27">IFERROR(INDEX('📥 Stock Data Input'!$K$4:$K$53,MATCH(SMALL('📥 Stock Data Input'!$M$4:$M$53,2),'📥 Stock Data Input'!$M$4:$M$53,0)),"")</f>
        <v/>
      </c>
      <c r="G27" s="28">
        <f t="array" ref="G27">IFERROR(INDEX('📥 Stock Data Input'!$L$4:$L$53,MATCH(SMALL('📥 Stock Data Input'!$M$4:$M$53,2),'📥 Stock Data Input'!$M$4:$M$53,0)),"")</f>
        <v/>
      </c>
      <c r="H27" s="29">
        <f>IFERROR(SMALL('📥 Stock Data Input'!$M$4:$M$53,2),"")</f>
        <v/>
      </c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27" customHeight="1" s="82">
      <c r="A28" s="26" t="inlineStr">
        <is>
          <t>#3</t>
        </is>
      </c>
      <c r="B28" s="27">
        <f t="array" ref="B28">IFERROR(INDEX('📥 Stock Data Input'!$A$4:$A$53,MATCH(SMALL('📥 Stock Data Input'!$M$4:$M$53,3),'📥 Stock Data Input'!$M$4:$M$53,0)),"")</f>
        <v/>
      </c>
      <c r="C28" s="27">
        <f t="array" ref="C28">IFERROR(INDEX('📥 Stock Data Input'!$C$4:$C$53,MATCH(SMALL('📥 Stock Data Input'!$M$4:$M$53,3),'📥 Stock Data Input'!$M$4:$M$53,0)),"")</f>
        <v/>
      </c>
      <c r="D28" s="28">
        <f t="array" ref="D28">IFERROR(INDEX('📥 Stock Data Input'!$D$4:$D$53,MATCH(SMALL('📥 Stock Data Input'!$M$4:$M$53,3),'📥 Stock Data Input'!$M$4:$M$53,0)),"")</f>
        <v/>
      </c>
      <c r="E28" s="28">
        <f t="array" ref="E28">IFERROR(INDEX('📥 Stock Data Input'!$J$4:$J$53,MATCH(SMALL('📥 Stock Data Input'!$M$4:$M$53,3),'📥 Stock Data Input'!$M$4:$M$53,0)),"")</f>
        <v/>
      </c>
      <c r="F28" s="28">
        <f t="array" ref="F28">IFERROR(INDEX('📥 Stock Data Input'!$K$4:$K$53,MATCH(SMALL('📥 Stock Data Input'!$M$4:$M$53,3),'📥 Stock Data Input'!$M$4:$M$53,0)),"")</f>
        <v/>
      </c>
      <c r="G28" s="28">
        <f t="array" ref="G28">IFERROR(INDEX('📥 Stock Data Input'!$L$4:$L$53,MATCH(SMALL('📥 Stock Data Input'!$M$4:$M$53,3),'📥 Stock Data Input'!$M$4:$M$53,0)),"")</f>
        <v/>
      </c>
      <c r="H28" s="29">
        <f>IFERROR(SMALL('📥 Stock Data Input'!$M$4:$M$53,3),"")</f>
        <v/>
      </c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23.25" customHeight="1" s="82">
      <c r="A29" s="26" t="inlineStr">
        <is>
          <t>#4</t>
        </is>
      </c>
      <c r="B29" s="27">
        <f t="array" ref="B29">IFERROR(INDEX('📥 Stock Data Input'!$A$4:$A$53,MATCH(SMALL('📥 Stock Data Input'!$M$4:$M$53,4),'📥 Stock Data Input'!$M$4:$M$53,0)),"")</f>
        <v/>
      </c>
      <c r="C29" s="27">
        <f t="array" ref="C29">IFERROR(INDEX('📥 Stock Data Input'!$C$4:$C$53,MATCH(SMALL('📥 Stock Data Input'!$M$4:$M$53,4),'📥 Stock Data Input'!$M$4:$M$53,0)),"")</f>
        <v/>
      </c>
      <c r="D29" s="28">
        <f t="array" ref="D29">IFERROR(INDEX('📥 Stock Data Input'!$D$4:$D$53,MATCH(SMALL('📥 Stock Data Input'!$M$4:$M$53,4),'📥 Stock Data Input'!$M$4:$M$53,0)),"")</f>
        <v/>
      </c>
      <c r="E29" s="28">
        <f t="array" ref="E29">IFERROR(INDEX('📥 Stock Data Input'!$J$4:$J$53,MATCH(SMALL('📥 Stock Data Input'!$M$4:$M$53,4),'📥 Stock Data Input'!$M$4:$M$53,0)),"")</f>
        <v/>
      </c>
      <c r="F29" s="28">
        <f t="array" ref="F29">IFERROR(INDEX('📥 Stock Data Input'!$K$4:$K$53,MATCH(SMALL('📥 Stock Data Input'!$M$4:$M$53,4),'📥 Stock Data Input'!$M$4:$M$53,0)),"")</f>
        <v/>
      </c>
      <c r="G29" s="28">
        <f t="array" ref="G29">IFERROR(INDEX('📥 Stock Data Input'!$L$4:$L$53,MATCH(SMALL('📥 Stock Data Input'!$M$4:$M$53,4),'📥 Stock Data Input'!$M$4:$M$53,0)),"")</f>
        <v/>
      </c>
      <c r="H29" s="29">
        <f>IFERROR(SMALL('📥 Stock Data Input'!$M$4:$M$53,4),"")</f>
        <v/>
      </c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21" customHeight="1" s="82">
      <c r="A30" s="26" t="inlineStr">
        <is>
          <t>#5</t>
        </is>
      </c>
      <c r="B30" s="27">
        <f t="array" ref="B30">IFERROR(INDEX('📥 Stock Data Input'!$A$4:$A$53,MATCH(SMALL('📥 Stock Data Input'!$M$4:$M$53,5),'📥 Stock Data Input'!$M$4:$M$53,0)),"")</f>
        <v/>
      </c>
      <c r="C30" s="27">
        <f t="array" ref="C30">IFERROR(INDEX('📥 Stock Data Input'!$C$4:$C$53,MATCH(SMALL('📥 Stock Data Input'!$M$4:$M$53,5),'📥 Stock Data Input'!$M$4:$M$53,0)),"")</f>
        <v/>
      </c>
      <c r="D30" s="28">
        <f t="array" ref="D30">IFERROR(INDEX('📥 Stock Data Input'!$D$4:$D$53,MATCH(SMALL('📥 Stock Data Input'!$M$4:$M$53,5),'📥 Stock Data Input'!$M$4:$M$53,0)),"")</f>
        <v/>
      </c>
      <c r="E30" s="28">
        <f t="array" ref="E30">IFERROR(INDEX('📥 Stock Data Input'!$J$4:$J$53,MATCH(SMALL('📥 Stock Data Input'!$M$4:$M$53,5),'📥 Stock Data Input'!$M$4:$M$53,0)),"")</f>
        <v/>
      </c>
      <c r="F30" s="28">
        <f t="array" ref="F30">IFERROR(INDEX('📥 Stock Data Input'!$K$4:$K$53,MATCH(SMALL('📥 Stock Data Input'!$M$4:$M$53,5),'📥 Stock Data Input'!$M$4:$M$53,0)),"")</f>
        <v/>
      </c>
      <c r="G30" s="28">
        <f t="array" ref="G30">IFERROR(INDEX('📥 Stock Data Input'!$L$4:$L$53,MATCH(SMALL('📥 Stock Data Input'!$M$4:$M$53,5),'📥 Stock Data Input'!$M$4:$M$53,0)),"")</f>
        <v/>
      </c>
      <c r="H30" s="29">
        <f>IFERROR(SMALL('📥 Stock Data Input'!$M$4:$M$53,5),"")</f>
        <v/>
      </c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4.25" customHeight="1" s="82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4.25" customHeight="1" s="8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4.25" customHeight="1" s="82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4.25" customHeight="1" s="82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4.25" customHeight="1" s="82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4.25" customHeight="1" s="82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4.25" customHeight="1" s="82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4.25" customHeight="1" s="82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4.25" customHeight="1" s="82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4.25" customHeight="1" s="82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4.25" customHeight="1" s="82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4.25" customHeight="1" s="8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4.25" customHeight="1" s="82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4.25" customHeight="1" s="82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4.25" customHeight="1" s="82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4.25" customHeight="1" s="82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4.25" customHeight="1" s="82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4.25" customHeight="1" s="82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4.25" customHeight="1" s="82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4.25" customHeight="1" s="82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4.25" customHeight="1" s="82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4.25" customHeight="1" s="8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4.25" customHeight="1" s="82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4.25" customHeight="1" s="82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4.25" customHeight="1" s="82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4.25" customHeight="1" s="82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4.25" customHeight="1" s="82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4.25" customHeight="1" s="82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4.25" customHeight="1" s="82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4.25" customHeight="1" s="82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4.25" customHeight="1" s="82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4.25" customHeight="1" s="8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4.25" customHeight="1" s="82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4.25" customHeight="1" s="82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4.25" customHeight="1" s="82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4.25" customHeight="1" s="82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4.25" customHeight="1" s="82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4.25" customHeight="1" s="82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4.25" customHeight="1" s="82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4.25" customHeight="1" s="82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4.25" customHeight="1" s="82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4.25" customHeight="1" s="8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4.25" customHeight="1" s="82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4.25" customHeight="1" s="82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4.25" customHeight="1" s="82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4.25" customHeight="1" s="82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4.25" customHeight="1" s="82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4.25" customHeight="1" s="82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4.25" customHeight="1" s="82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4.25" customHeight="1" s="82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4.25" customHeight="1" s="82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4.25" customHeight="1" s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4.25" customHeight="1" s="82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4.25" customHeight="1" s="82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4.25" customHeight="1" s="82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4.25" customHeight="1" s="82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4.25" customHeight="1" s="82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4.25" customHeight="1" s="82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4.25" customHeight="1" s="82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4.25" customHeight="1" s="82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4.25" customHeight="1" s="82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4.25" customHeight="1" s="8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4.25" customHeight="1" s="82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4.25" customHeight="1" s="82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4.25" customHeight="1" s="82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4.25" customHeight="1" s="82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4.25" customHeight="1" s="82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4.25" customHeight="1" s="82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4.25" customHeight="1" s="82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4.25" customHeight="1" s="82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4.25" customHeight="1" s="82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4.25" customHeight="1" s="8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4.25" customHeight="1" s="82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4.25" customHeight="1" s="82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4.25" customHeight="1" s="82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4.25" customHeight="1" s="82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4.25" customHeight="1" s="82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4.25" customHeight="1" s="82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4.25" customHeight="1" s="82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4.25" customHeight="1" s="82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4.25" customHeight="1" s="82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4.25" customHeight="1" s="8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4.25" customHeight="1" s="82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4.25" customHeight="1" s="82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4.25" customHeight="1" s="82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4.25" customHeight="1" s="82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4.25" customHeight="1" s="82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4.25" customHeight="1" s="82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4.25" customHeight="1" s="82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4.25" customHeight="1" s="82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4.25" customHeight="1" s="82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4.25" customHeight="1" s="8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4.25" customHeight="1" s="82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4.25" customHeight="1" s="82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4.25" customHeight="1" s="82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4.25" customHeight="1" s="82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4.25" customHeight="1" s="82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4.25" customHeight="1" s="82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4.25" customHeight="1" s="82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4.25" customHeight="1" s="82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4.25" customHeight="1" s="82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4.25" customHeight="1" s="8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4.25" customHeight="1" s="82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4.25" customHeight="1" s="82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4.25" customHeight="1" s="82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4.25" customHeight="1" s="82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4.25" customHeight="1" s="82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4.25" customHeight="1" s="82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4.25" customHeight="1" s="82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4.25" customHeight="1" s="82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4.25" customHeight="1" s="82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4.25" customHeight="1" s="8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4.25" customHeight="1" s="82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4.25" customHeight="1" s="82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4.25" customHeight="1" s="82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4.25" customHeight="1" s="82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4.25" customHeight="1" s="82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4.25" customHeight="1" s="82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4.25" customHeight="1" s="82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4.25" customHeight="1" s="82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4.25" customHeight="1" s="82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4.25" customHeight="1" s="8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4.25" customHeight="1" s="82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4.25" customHeight="1" s="82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4.25" customHeight="1" s="82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4.25" customHeight="1" s="82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4.25" customHeight="1" s="82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4.25" customHeight="1" s="82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4.25" customHeight="1" s="82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4.25" customHeight="1" s="82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4.25" customHeight="1" s="82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4.25" customHeight="1" s="8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4.25" customHeight="1" s="82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4.25" customHeight="1" s="82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4.25" customHeight="1" s="82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4.25" customHeight="1" s="82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4.25" customHeight="1" s="82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4.25" customHeight="1" s="82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4.25" customHeight="1" s="82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4.25" customHeight="1" s="82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4.25" customHeight="1" s="82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4.25" customHeight="1" s="8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4.25" customHeight="1" s="82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4.25" customHeight="1" s="82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4.25" customHeight="1" s="82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4.25" customHeight="1" s="82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4.25" customHeight="1" s="82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4.25" customHeight="1" s="82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4.25" customHeight="1" s="82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4.25" customHeight="1" s="82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4.25" customHeight="1" s="82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4.25" customHeight="1" s="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4.25" customHeight="1" s="82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4.25" customHeight="1" s="82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4.25" customHeight="1" s="82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4.25" customHeight="1" s="82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4.25" customHeight="1" s="82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4.25" customHeight="1" s="82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4.25" customHeight="1" s="82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4.25" customHeight="1" s="82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4.25" customHeight="1" s="82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4.25" customHeight="1" s="8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4.25" customHeight="1" s="82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4.25" customHeight="1" s="82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4.25" customHeight="1" s="82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4.25" customHeight="1" s="82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4.25" customHeight="1" s="82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4.25" customHeight="1" s="82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4.25" customHeight="1" s="82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4.25" customHeight="1" s="82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4.25" customHeight="1" s="82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4.25" customHeight="1" s="8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4.25" customHeight="1" s="82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4.25" customHeight="1" s="82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4.25" customHeight="1" s="82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4.25" customHeight="1" s="82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4.25" customHeight="1" s="82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4.25" customHeight="1" s="82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4.25" customHeight="1" s="82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4.25" customHeight="1" s="82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4.25" customHeight="1" s="82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4.25" customHeight="1" s="8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4.25" customHeight="1" s="82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4.25" customHeight="1" s="82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4.25" customHeight="1" s="82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4.25" customHeight="1" s="82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4.25" customHeight="1" s="82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4.25" customHeight="1" s="82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4.25" customHeight="1" s="82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4.25" customHeight="1" s="82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4.25" customHeight="1" s="82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4.25" customHeight="1" s="8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4.25" customHeight="1" s="82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4.25" customHeight="1" s="82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4.25" customHeight="1" s="82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4.25" customHeight="1" s="82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4.25" customHeight="1" s="82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4.25" customHeight="1" s="82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4.25" customHeight="1" s="82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4.25" customHeight="1" s="82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4.25" customHeight="1" s="82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4.25" customHeight="1" s="8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4.25" customHeight="1" s="82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4.25" customHeight="1" s="82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4.25" customHeight="1" s="82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4.25" customHeight="1" s="82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4.25" customHeight="1" s="82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4.25" customHeight="1" s="82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4.25" customHeight="1" s="82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4.25" customHeight="1" s="82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4.25" customHeight="1" s="82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4.25" customHeight="1" s="8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4.25" customHeight="1" s="82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4.25" customHeight="1" s="82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4.25" customHeight="1" s="82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4.25" customHeight="1" s="82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4.25" customHeight="1" s="82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4.25" customHeight="1" s="82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4.25" customHeight="1" s="82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4.25" customHeight="1" s="82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4.25" customHeight="1" s="82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4.25" customHeight="1" s="8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4.25" customHeight="1" s="82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4.25" customHeight="1" s="82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4.25" customHeight="1" s="82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4.25" customHeight="1" s="82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4.25" customHeight="1" s="82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4.25" customHeight="1" s="82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4.25" customHeight="1" s="82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4.25" customHeight="1" s="82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4.25" customHeight="1" s="82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4.25" customHeight="1" s="8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4.25" customHeight="1" s="82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4.25" customHeight="1" s="82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4.25" customHeight="1" s="82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4.25" customHeight="1" s="82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4.25" customHeight="1" s="82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4.25" customHeight="1" s="82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4.25" customHeight="1" s="82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4.25" customHeight="1" s="82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4.25" customHeight="1" s="82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4.25" customHeight="1" s="8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4.25" customHeight="1" s="82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4.25" customHeight="1" s="82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4.25" customHeight="1" s="82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4.25" customHeight="1" s="82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4.25" customHeight="1" s="82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4.25" customHeight="1" s="82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4.25" customHeight="1" s="82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4.25" customHeight="1" s="82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4.25" customHeight="1" s="82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4.25" customHeight="1" s="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4.25" customHeight="1" s="82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4.25" customHeight="1" s="82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4.25" customHeight="1" s="82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4.25" customHeight="1" s="82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4.25" customHeight="1" s="82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4.25" customHeight="1" s="82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4.25" customHeight="1" s="82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4.25" customHeight="1" s="82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4.25" customHeight="1" s="82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4.25" customHeight="1" s="8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4.25" customHeight="1" s="82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4.25" customHeight="1" s="82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4.25" customHeight="1" s="82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4.25" customHeight="1" s="82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4.25" customHeight="1" s="82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4.25" customHeight="1" s="82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4.25" customHeight="1" s="82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4.25" customHeight="1" s="82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4.25" customHeight="1" s="82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4.25" customHeight="1" s="8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4.25" customHeight="1" s="82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4.25" customHeight="1" s="82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4.25" customHeight="1" s="82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4.25" customHeight="1" s="82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4.25" customHeight="1" s="82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4.25" customHeight="1" s="82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4.25" customHeight="1" s="82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4.25" customHeight="1" s="82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4.25" customHeight="1" s="82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4.25" customHeight="1" s="8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4.25" customHeight="1" s="82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4.25" customHeight="1" s="82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4.25" customHeight="1" s="82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4.25" customHeight="1" s="82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4.25" customHeight="1" s="82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4.25" customHeight="1" s="82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4.25" customHeight="1" s="82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4.25" customHeight="1" s="82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4.25" customHeight="1" s="82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4.25" customHeight="1" s="8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4.25" customHeight="1" s="82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4.25" customHeight="1" s="82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4.25" customHeight="1" s="82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4.25" customHeight="1" s="82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4.25" customHeight="1" s="82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4.25" customHeight="1" s="82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4.25" customHeight="1" s="82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4.25" customHeight="1" s="82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4.25" customHeight="1" s="82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4.25" customHeight="1" s="8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4.25" customHeight="1" s="82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4.25" customHeight="1" s="82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4.25" customHeight="1" s="82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4.25" customHeight="1" s="82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4.25" customHeight="1" s="82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4.25" customHeight="1" s="82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4.25" customHeight="1" s="82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4.25" customHeight="1" s="82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4.25" customHeight="1" s="82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4.25" customHeight="1" s="8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4.25" customHeight="1" s="82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4.25" customHeight="1" s="82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4.25" customHeight="1" s="82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4.25" customHeight="1" s="82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4.25" customHeight="1" s="82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4.25" customHeight="1" s="82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4.25" customHeight="1" s="82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4.25" customHeight="1" s="82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4.25" customHeight="1" s="82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4.25" customHeight="1" s="8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4.25" customHeight="1" s="82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4.25" customHeight="1" s="82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4.25" customHeight="1" s="82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4.25" customHeight="1" s="82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4.25" customHeight="1" s="82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4.25" customHeight="1" s="82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4.25" customHeight="1" s="82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4.25" customHeight="1" s="82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4.25" customHeight="1" s="82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4.25" customHeight="1" s="8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4.25" customHeight="1" s="82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4.25" customHeight="1" s="82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4.25" customHeight="1" s="82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4.25" customHeight="1" s="82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4.25" customHeight="1" s="82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4.25" customHeight="1" s="82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4.25" customHeight="1" s="82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4.25" customHeight="1" s="82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4.25" customHeight="1" s="82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4.25" customHeight="1" s="8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4.25" customHeight="1" s="82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4.25" customHeight="1" s="82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4.25" customHeight="1" s="82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4.25" customHeight="1" s="82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4.25" customHeight="1" s="82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4.25" customHeight="1" s="82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4.25" customHeight="1" s="82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4.25" customHeight="1" s="82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4.25" customHeight="1" s="82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4.25" customHeight="1" s="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4.25" customHeight="1" s="82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4.25" customHeight="1" s="82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4.25" customHeight="1" s="82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4.25" customHeight="1" s="82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4.25" customHeight="1" s="82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4.25" customHeight="1" s="82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4.25" customHeight="1" s="82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4.25" customHeight="1" s="82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4.25" customHeight="1" s="82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4.25" customHeight="1" s="8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4.25" customHeight="1" s="82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4.25" customHeight="1" s="82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4.25" customHeight="1" s="82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4.25" customHeight="1" s="82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4.25" customHeight="1" s="82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4.25" customHeight="1" s="82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4.25" customHeight="1" s="82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4.25" customHeight="1" s="82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4.25" customHeight="1" s="82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4.25" customHeight="1" s="8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4.25" customHeight="1" s="82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4.25" customHeight="1" s="82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4.25" customHeight="1" s="82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4.25" customHeight="1" s="82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4.25" customHeight="1" s="82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4.25" customHeight="1" s="82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4.25" customHeight="1" s="82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4.25" customHeight="1" s="82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4.25" customHeight="1" s="82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4.25" customHeight="1" s="8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4.25" customHeight="1" s="82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4.25" customHeight="1" s="82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4.25" customHeight="1" s="82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4.25" customHeight="1" s="82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4.25" customHeight="1" s="82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4.25" customHeight="1" s="82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4.25" customHeight="1" s="82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4.25" customHeight="1" s="82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4.25" customHeight="1" s="82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4.25" customHeight="1" s="8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4.25" customHeight="1" s="82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4.25" customHeight="1" s="82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4.25" customHeight="1" s="82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4.25" customHeight="1" s="82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4.25" customHeight="1" s="82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4.25" customHeight="1" s="82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4.25" customHeight="1" s="82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4.25" customHeight="1" s="82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4.25" customHeight="1" s="82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4.25" customHeight="1" s="8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4.25" customHeight="1" s="82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4.25" customHeight="1" s="82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4.25" customHeight="1" s="82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4.25" customHeight="1" s="82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4.25" customHeight="1" s="82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4.25" customHeight="1" s="82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4.25" customHeight="1" s="82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4.25" customHeight="1" s="82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4.25" customHeight="1" s="82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4.25" customHeight="1" s="8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4.25" customHeight="1" s="82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4.25" customHeight="1" s="82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4.25" customHeight="1" s="82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4.25" customHeight="1" s="82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4.25" customHeight="1" s="82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4.25" customHeight="1" s="82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4.25" customHeight="1" s="82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4.25" customHeight="1" s="82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4.25" customHeight="1" s="82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4.25" customHeight="1" s="8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4.25" customHeight="1" s="82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4.25" customHeight="1" s="82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4.25" customHeight="1" s="82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4.25" customHeight="1" s="82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4.25" customHeight="1" s="82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4.25" customHeight="1" s="82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4.25" customHeight="1" s="82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4.25" customHeight="1" s="82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4.25" customHeight="1" s="82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4.25" customHeight="1" s="8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4.25" customHeight="1" s="82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4.25" customHeight="1" s="82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4.25" customHeight="1" s="82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4.25" customHeight="1" s="82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4.25" customHeight="1" s="82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4.25" customHeight="1" s="82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4.25" customHeight="1" s="82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4.25" customHeight="1" s="82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4.25" customHeight="1" s="82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4.25" customHeight="1" s="8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4.25" customHeight="1" s="82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4.25" customHeight="1" s="82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4.25" customHeight="1" s="82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4.25" customHeight="1" s="82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4.25" customHeight="1" s="82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4.25" customHeight="1" s="82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4.25" customHeight="1" s="82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4.25" customHeight="1" s="82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4.25" customHeight="1" s="82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4.25" customHeight="1" s="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4.25" customHeight="1" s="82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4.25" customHeight="1" s="82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4.25" customHeight="1" s="82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4.25" customHeight="1" s="82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4.25" customHeight="1" s="82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4.25" customHeight="1" s="82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4.25" customHeight="1" s="82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4.25" customHeight="1" s="82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4.25" customHeight="1" s="82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4.25" customHeight="1" s="8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4.25" customHeight="1" s="82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4.25" customHeight="1" s="82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4.25" customHeight="1" s="82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4.25" customHeight="1" s="82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4.25" customHeight="1" s="82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4.25" customHeight="1" s="82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4.25" customHeight="1" s="82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4.25" customHeight="1" s="82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4.25" customHeight="1" s="82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4.25" customHeight="1" s="8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4.25" customHeight="1" s="82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4.25" customHeight="1" s="82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4.25" customHeight="1" s="82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4.25" customHeight="1" s="82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4.25" customHeight="1" s="82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4.25" customHeight="1" s="82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4.25" customHeight="1" s="82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4.25" customHeight="1" s="82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4.25" customHeight="1" s="82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4.25" customHeight="1" s="8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4.25" customHeight="1" s="82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4.25" customHeight="1" s="82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4.25" customHeight="1" s="82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4.25" customHeight="1" s="82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4.25" customHeight="1" s="82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4.25" customHeight="1" s="82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4.25" customHeight="1" s="82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4.25" customHeight="1" s="82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4.25" customHeight="1" s="82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4.25" customHeight="1" s="8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4.25" customHeight="1" s="82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4.25" customHeight="1" s="82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4.25" customHeight="1" s="82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4.25" customHeight="1" s="82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4.25" customHeight="1" s="82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4.25" customHeight="1" s="82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4.25" customHeight="1" s="82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4.25" customHeight="1" s="82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4.25" customHeight="1" s="82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4.25" customHeight="1" s="8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4.25" customHeight="1" s="82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4.25" customHeight="1" s="82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4.25" customHeight="1" s="82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4.25" customHeight="1" s="82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4.25" customHeight="1" s="82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4.25" customHeight="1" s="82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4.25" customHeight="1" s="82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4.25" customHeight="1" s="82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4.25" customHeight="1" s="82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4.25" customHeight="1" s="8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4.25" customHeight="1" s="82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4.25" customHeight="1" s="82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4.25" customHeight="1" s="82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4.25" customHeight="1" s="82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4.25" customHeight="1" s="82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4.25" customHeight="1" s="82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4.25" customHeight="1" s="82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4.25" customHeight="1" s="82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4.25" customHeight="1" s="82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4.25" customHeight="1" s="8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4.25" customHeight="1" s="82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4.25" customHeight="1" s="82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4.25" customHeight="1" s="82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4.25" customHeight="1" s="82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4.25" customHeight="1" s="82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4.25" customHeight="1" s="82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4.25" customHeight="1" s="82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4.25" customHeight="1" s="82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4.25" customHeight="1" s="82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4.25" customHeight="1" s="8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4.25" customHeight="1" s="82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4.25" customHeight="1" s="82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4.25" customHeight="1" s="82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4.25" customHeight="1" s="82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4.25" customHeight="1" s="82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4.25" customHeight="1" s="82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4.25" customHeight="1" s="82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4.25" customHeight="1" s="82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4.25" customHeight="1" s="82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4.25" customHeight="1" s="8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4.25" customHeight="1" s="82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4.25" customHeight="1" s="82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4.25" customHeight="1" s="82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4.25" customHeight="1" s="82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4.25" customHeight="1" s="82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4.25" customHeight="1" s="82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4.25" customHeight="1" s="82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4.25" customHeight="1" s="82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4.25" customHeight="1" s="82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4.25" customHeight="1" s="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4.25" customHeight="1" s="82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4.25" customHeight="1" s="82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4.25" customHeight="1" s="82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4.25" customHeight="1" s="82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4.25" customHeight="1" s="82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4.25" customHeight="1" s="82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4.25" customHeight="1" s="82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4.25" customHeight="1" s="82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4.25" customHeight="1" s="82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4.25" customHeight="1" s="8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4.25" customHeight="1" s="82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4.25" customHeight="1" s="82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4.25" customHeight="1" s="82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4.25" customHeight="1" s="82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4.25" customHeight="1" s="82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4.25" customHeight="1" s="82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4.25" customHeight="1" s="82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4.25" customHeight="1" s="82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4.25" customHeight="1" s="82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4.25" customHeight="1" s="8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4.25" customHeight="1" s="82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4.25" customHeight="1" s="82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4.25" customHeight="1" s="82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4.25" customHeight="1" s="82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4.25" customHeight="1" s="82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4.25" customHeight="1" s="82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4.25" customHeight="1" s="82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4.25" customHeight="1" s="82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4.25" customHeight="1" s="82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4.25" customHeight="1" s="8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4.25" customHeight="1" s="82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4.25" customHeight="1" s="82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4.25" customHeight="1" s="82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4.25" customHeight="1" s="82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4.25" customHeight="1" s="82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4.25" customHeight="1" s="82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4.25" customHeight="1" s="82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4.25" customHeight="1" s="82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4.25" customHeight="1" s="82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4.25" customHeight="1" s="8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4.25" customHeight="1" s="82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4.25" customHeight="1" s="82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4.25" customHeight="1" s="82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4.25" customHeight="1" s="82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4.25" customHeight="1" s="82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4.25" customHeight="1" s="82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4.25" customHeight="1" s="82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4.25" customHeight="1" s="82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4.25" customHeight="1" s="82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4.25" customHeight="1" s="8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4.25" customHeight="1" s="82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4.25" customHeight="1" s="82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4.25" customHeight="1" s="82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4.25" customHeight="1" s="82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4.25" customHeight="1" s="82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4.25" customHeight="1" s="82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4.25" customHeight="1" s="82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4.25" customHeight="1" s="82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4.25" customHeight="1" s="82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4.25" customHeight="1" s="8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4.25" customHeight="1" s="82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4.25" customHeight="1" s="82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4.25" customHeight="1" s="82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4.25" customHeight="1" s="82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4.25" customHeight="1" s="82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4.25" customHeight="1" s="82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4.25" customHeight="1" s="82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4.25" customHeight="1" s="82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4.25" customHeight="1" s="82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4.25" customHeight="1" s="8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4.25" customHeight="1" s="82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4.25" customHeight="1" s="82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4.25" customHeight="1" s="82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4.25" customHeight="1" s="82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4.25" customHeight="1" s="82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4.25" customHeight="1" s="82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4.25" customHeight="1" s="82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4.25" customHeight="1" s="82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4.25" customHeight="1" s="82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4.25" customHeight="1" s="8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4.25" customHeight="1" s="82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4.25" customHeight="1" s="82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4.25" customHeight="1" s="82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4.25" customHeight="1" s="82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4.25" customHeight="1" s="82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4.25" customHeight="1" s="82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4.25" customHeight="1" s="82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4.25" customHeight="1" s="82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4.25" customHeight="1" s="82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4.25" customHeight="1" s="8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4.25" customHeight="1" s="82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4.25" customHeight="1" s="82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4.25" customHeight="1" s="82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4.25" customHeight="1" s="82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4.25" customHeight="1" s="82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4.25" customHeight="1" s="82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4.25" customHeight="1" s="82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4.25" customHeight="1" s="82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4.25" customHeight="1" s="82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4.25" customHeight="1" s="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4.25" customHeight="1" s="82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4.25" customHeight="1" s="82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4.25" customHeight="1" s="82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4.25" customHeight="1" s="82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4.25" customHeight="1" s="82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4.25" customHeight="1" s="82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4.25" customHeight="1" s="82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4.25" customHeight="1" s="82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4.25" customHeight="1" s="82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4.25" customHeight="1" s="8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4.25" customHeight="1" s="82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4.25" customHeight="1" s="82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4.25" customHeight="1" s="82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4.25" customHeight="1" s="82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4.25" customHeight="1" s="82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4.25" customHeight="1" s="82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4.25" customHeight="1" s="82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4.25" customHeight="1" s="82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4.25" customHeight="1" s="82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4.25" customHeight="1" s="8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4.25" customHeight="1" s="82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4.25" customHeight="1" s="82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4.25" customHeight="1" s="82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4.25" customHeight="1" s="82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4.25" customHeight="1" s="82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4.25" customHeight="1" s="82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4.25" customHeight="1" s="82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4.25" customHeight="1" s="82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4.25" customHeight="1" s="82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4.25" customHeight="1" s="8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4.25" customHeight="1" s="82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4.25" customHeight="1" s="82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4.25" customHeight="1" s="82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4.25" customHeight="1" s="82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4.25" customHeight="1" s="82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4.25" customHeight="1" s="82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4.25" customHeight="1" s="82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4.25" customHeight="1" s="82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4.25" customHeight="1" s="82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4.25" customHeight="1" s="8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4.25" customHeight="1" s="82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4.25" customHeight="1" s="82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4.25" customHeight="1" s="82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4.25" customHeight="1" s="82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4.25" customHeight="1" s="82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4.25" customHeight="1" s="82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4.25" customHeight="1" s="82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4.25" customHeight="1" s="82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4.25" customHeight="1" s="82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4.25" customHeight="1" s="8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4.25" customHeight="1" s="82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4.25" customHeight="1" s="82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4.25" customHeight="1" s="82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4.25" customHeight="1" s="82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4.25" customHeight="1" s="82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4.25" customHeight="1" s="82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4.25" customHeight="1" s="82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4.25" customHeight="1" s="82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4.25" customHeight="1" s="82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4.25" customHeight="1" s="8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4.25" customHeight="1" s="82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4.25" customHeight="1" s="82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4.25" customHeight="1" s="82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4.25" customHeight="1" s="82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4.25" customHeight="1" s="82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4.25" customHeight="1" s="82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4.25" customHeight="1" s="82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4.25" customHeight="1" s="82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4.25" customHeight="1" s="82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4.25" customHeight="1" s="8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4.25" customHeight="1" s="82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4.25" customHeight="1" s="82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4.25" customHeight="1" s="82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4.25" customHeight="1" s="82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4.25" customHeight="1" s="82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4.25" customHeight="1" s="82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4.25" customHeight="1" s="82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4.25" customHeight="1" s="82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4.25" customHeight="1" s="82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4.25" customHeight="1" s="8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4.25" customHeight="1" s="82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4.25" customHeight="1" s="82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4.25" customHeight="1" s="82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4.25" customHeight="1" s="82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4.25" customHeight="1" s="82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4.25" customHeight="1" s="82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4.25" customHeight="1" s="82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4.25" customHeight="1" s="82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4.25" customHeight="1" s="82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4.25" customHeight="1" s="8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4.25" customHeight="1" s="82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4.25" customHeight="1" s="82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4.25" customHeight="1" s="82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4.25" customHeight="1" s="82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4.25" customHeight="1" s="82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4.25" customHeight="1" s="82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4.25" customHeight="1" s="82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4.25" customHeight="1" s="82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4.25" customHeight="1" s="82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4.25" customHeight="1" s="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4.25" customHeight="1" s="82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4.25" customHeight="1" s="82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4.25" customHeight="1" s="82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4.25" customHeight="1" s="82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4.25" customHeight="1" s="82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4.25" customHeight="1" s="82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4.25" customHeight="1" s="82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4.25" customHeight="1" s="82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4.25" customHeight="1" s="82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4.25" customHeight="1" s="8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4.25" customHeight="1" s="82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4.25" customHeight="1" s="82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4.25" customHeight="1" s="82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4.25" customHeight="1" s="82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4.25" customHeight="1" s="82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4.25" customHeight="1" s="82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4.25" customHeight="1" s="82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4.25" customHeight="1" s="82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4.25" customHeight="1" s="82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4.25" customHeight="1" s="8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4.25" customHeight="1" s="82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4.25" customHeight="1" s="82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4.25" customHeight="1" s="82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4.25" customHeight="1" s="82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4.25" customHeight="1" s="82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4.25" customHeight="1" s="82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4.25" customHeight="1" s="82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4.25" customHeight="1" s="82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4.25" customHeight="1" s="82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4.25" customHeight="1" s="8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4.25" customHeight="1" s="82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4.25" customHeight="1" s="82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4.25" customHeight="1" s="82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4.25" customHeight="1" s="82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4.25" customHeight="1" s="82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4.25" customHeight="1" s="82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4.25" customHeight="1" s="82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4.25" customHeight="1" s="82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4.25" customHeight="1" s="82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4.25" customHeight="1" s="8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4.25" customHeight="1" s="82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4.25" customHeight="1" s="82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4.25" customHeight="1" s="82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4.25" customHeight="1" s="82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4.25" customHeight="1" s="82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4.25" customHeight="1" s="82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4.25" customHeight="1" s="82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4.25" customHeight="1" s="82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4.25" customHeight="1" s="82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4.25" customHeight="1" s="8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4.25" customHeight="1" s="82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4.25" customHeight="1" s="82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4.25" customHeight="1" s="82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4.25" customHeight="1" s="82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4.25" customHeight="1" s="82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4.25" customHeight="1" s="82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4.25" customHeight="1" s="82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4.25" customHeight="1" s="82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4.25" customHeight="1" s="82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4.25" customHeight="1" s="8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4.25" customHeight="1" s="82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4.25" customHeight="1" s="82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4.25" customHeight="1" s="82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4.25" customHeight="1" s="82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4.25" customHeight="1" s="82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4.25" customHeight="1" s="82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4.25" customHeight="1" s="82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4.25" customHeight="1" s="82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4.25" customHeight="1" s="82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4.25" customHeight="1" s="8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4.25" customHeight="1" s="82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4.25" customHeight="1" s="82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4.25" customHeight="1" s="82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4.25" customHeight="1" s="82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4.25" customHeight="1" s="82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4.25" customHeight="1" s="82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4.25" customHeight="1" s="82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4.25" customHeight="1" s="82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4.25" customHeight="1" s="82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4.25" customHeight="1" s="8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4.25" customHeight="1" s="82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4.25" customHeight="1" s="82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4.25" customHeight="1" s="82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4.25" customHeight="1" s="82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4.25" customHeight="1" s="82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4.25" customHeight="1" s="82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4.25" customHeight="1" s="82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4.25" customHeight="1" s="82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4.25" customHeight="1" s="82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4.25" customHeight="1" s="8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4.25" customHeight="1" s="82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4.25" customHeight="1" s="82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4.25" customHeight="1" s="82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4.25" customHeight="1" s="82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4.25" customHeight="1" s="82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4.25" customHeight="1" s="82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4.25" customHeight="1" s="82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4.25" customHeight="1" s="82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4.25" customHeight="1" s="82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4.25" customHeight="1" s="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4.25" customHeight="1" s="82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4.25" customHeight="1" s="82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4.25" customHeight="1" s="82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4.25" customHeight="1" s="82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4.25" customHeight="1" s="82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4.25" customHeight="1" s="82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4.25" customHeight="1" s="82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4.25" customHeight="1" s="82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4.25" customHeight="1" s="82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4.25" customHeight="1" s="8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4.25" customHeight="1" s="82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4.25" customHeight="1" s="82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4.25" customHeight="1" s="82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4.25" customHeight="1" s="82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4.25" customHeight="1" s="82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4.25" customHeight="1" s="82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4.25" customHeight="1" s="82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4.25" customHeight="1" s="82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4.25" customHeight="1" s="82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4.25" customHeight="1" s="8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4.25" customHeight="1" s="82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4.25" customHeight="1" s="82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4.25" customHeight="1" s="82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4.25" customHeight="1" s="82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4.25" customHeight="1" s="82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4.25" customHeight="1" s="82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4.25" customHeight="1" s="82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4.25" customHeight="1" s="82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4.25" customHeight="1" s="82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4.25" customHeight="1" s="8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4.25" customHeight="1" s="82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4.25" customHeight="1" s="82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4.25" customHeight="1" s="82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4.25" customHeight="1" s="82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4.25" customHeight="1" s="82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4.25" customHeight="1" s="82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4.25" customHeight="1" s="82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4.25" customHeight="1" s="82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4.25" customHeight="1" s="82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4.25" customHeight="1" s="8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4.25" customHeight="1" s="82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4.25" customHeight="1" s="82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4.25" customHeight="1" s="82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4.25" customHeight="1" s="82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4.25" customHeight="1" s="82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4.25" customHeight="1" s="82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4.25" customHeight="1" s="82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4.25" customHeight="1" s="82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4.25" customHeight="1" s="82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4.25" customHeight="1" s="8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4.25" customHeight="1" s="82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4.25" customHeight="1" s="82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4.25" customHeight="1" s="82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4.25" customHeight="1" s="82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4.25" customHeight="1" s="82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4.25" customHeight="1" s="82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4.25" customHeight="1" s="82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4.25" customHeight="1" s="82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4.25" customHeight="1" s="82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4.25" customHeight="1" s="8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4.25" customHeight="1" s="82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4.25" customHeight="1" s="82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4.25" customHeight="1" s="82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4.25" customHeight="1" s="82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4.25" customHeight="1" s="82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4.25" customHeight="1" s="82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4.25" customHeight="1" s="82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4.25" customHeight="1" s="82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4.25" customHeight="1" s="82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4.25" customHeight="1" s="8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4.25" customHeight="1" s="82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4.25" customHeight="1" s="82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4.25" customHeight="1" s="82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4.25" customHeight="1" s="82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4.25" customHeight="1" s="82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4.25" customHeight="1" s="82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4.25" customHeight="1" s="82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4.25" customHeight="1" s="82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4.25" customHeight="1" s="82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4.25" customHeight="1" s="8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4.25" customHeight="1" s="82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4.25" customHeight="1" s="82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4.25" customHeight="1" s="82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4.25" customHeight="1" s="82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4.25" customHeight="1" s="82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4.25" customHeight="1" s="82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4.25" customHeight="1" s="82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4.25" customHeight="1" s="82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4.25" customHeight="1" s="82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4.25" customHeight="1" s="82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4.25" customHeight="1" s="82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4.25" customHeight="1" s="82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4.25" customHeight="1" s="82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4.25" customHeight="1" s="82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4.25" customHeight="1" s="82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4.25" customHeight="1" s="82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4.25" customHeight="1" s="82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4.25" customHeight="1" s="82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4.25" customHeight="1" s="82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4.25" customHeight="1" s="82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4.25" customHeight="1" s="82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4.25" customHeight="1" s="82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4.25" customHeight="1" s="82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4.25" customHeight="1" s="82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4.25" customHeight="1" s="82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4.25" customHeight="1" s="82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4.25" customHeight="1" s="82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4.25" customHeight="1" s="82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4.25" customHeight="1" s="82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4.25" customHeight="1" s="82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4.25" customHeight="1" s="82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4.25" customHeight="1" s="82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4.25" customHeight="1" s="82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4.25" customHeight="1" s="82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4.25" customHeight="1" s="82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4.25" customHeight="1" s="82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4.25" customHeight="1" s="82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4.25" customHeight="1" s="82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mergeCells count="21">
    <mergeCell ref="A24:H24"/>
    <mergeCell ref="C5:D5"/>
    <mergeCell ref="E5:F5"/>
    <mergeCell ref="A1:H1"/>
    <mergeCell ref="G8:H8"/>
    <mergeCell ref="E8:F8"/>
    <mergeCell ref="C4:D4"/>
    <mergeCell ref="E4:F4"/>
    <mergeCell ref="A7:B7"/>
    <mergeCell ref="G7:H7"/>
    <mergeCell ref="A16:H16"/>
    <mergeCell ref="A3:H3"/>
    <mergeCell ref="A5:B5"/>
    <mergeCell ref="G5:H5"/>
    <mergeCell ref="A8:B8"/>
    <mergeCell ref="C8:D8"/>
    <mergeCell ref="A4:B4"/>
    <mergeCell ref="G4:H4"/>
    <mergeCell ref="C7:D7"/>
    <mergeCell ref="E7:F7"/>
    <mergeCell ref="A10:H10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2E75B6"/>
    <outlinePr summaryBelow="1" summaryRight="1"/>
    <pageSetUpPr/>
  </sheetPr>
  <dimension ref="A1:V54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40.57" customWidth="1" style="82" min="1" max="1"/>
    <col width="14" customWidth="1" style="82" min="2" max="2"/>
    <col width="18.71" customWidth="1" style="82" min="3" max="3"/>
    <col width="9.710000000000001" customWidth="1" style="82" min="4" max="4"/>
    <col width="12.71" customWidth="1" style="82" min="5" max="5"/>
    <col width="14.71" customWidth="1" style="82" min="6" max="6"/>
    <col width="12.71" customWidth="1" style="82" min="7" max="7"/>
    <col width="10.71" customWidth="1" style="82" min="8" max="9"/>
    <col width="14.71" customWidth="1" style="82" min="10" max="10"/>
    <col width="15.71" customWidth="1" style="82" min="11" max="11"/>
    <col width="14" customWidth="1" style="82" min="12" max="12"/>
    <col width="10.71" customWidth="1" style="82" min="13" max="13"/>
    <col width="11.71" customWidth="1" style="82" min="14" max="14"/>
    <col width="12.71" customWidth="1" style="82" min="15" max="15"/>
    <col width="8.710000000000001" customWidth="1" style="82" min="16" max="26"/>
  </cols>
  <sheetData>
    <row r="1" ht="30" customHeight="1" s="82">
      <c r="A1" s="91" t="inlineStr">
        <is>
          <t>Stock Holdings — Data Entry</t>
        </is>
      </c>
    </row>
    <row r="2" ht="36" customHeight="1" s="82">
      <c r="A2" s="92" t="inlineStr">
        <is>
          <t>🔵 Fill BLUE columns only (A–I). Columns J–O are auto-calculated formulas. Add more rows by copying row 53 down. Enter 5Y CAGR &amp; Nifty CAGR as numbers (e.g. 14 for 14%).</t>
        </is>
      </c>
    </row>
    <row r="3" ht="41.25" customHeight="1" s="82">
      <c r="A3" s="32" t="inlineStr">
        <is>
          <t>Scrip Name</t>
        </is>
      </c>
      <c r="B3" s="33" t="inlineStr">
        <is>
          <t>Exchange
(NSE/BSE)</t>
        </is>
      </c>
      <c r="C3" s="33" t="inlineStr">
        <is>
          <t>Sector</t>
        </is>
      </c>
      <c r="D3" s="33" t="inlineStr">
        <is>
          <t>Qty
(Shares)</t>
        </is>
      </c>
      <c r="E3" s="34" t="inlineStr">
        <is>
          <t>Buy / AVG Price
(₹)</t>
        </is>
      </c>
      <c r="F3" s="33" t="inlineStr">
        <is>
          <t>Buy Date
(DD-MM-YYYY)</t>
        </is>
      </c>
      <c r="G3" s="33" t="inlineStr">
        <is>
          <t>Current
Price (₹)</t>
        </is>
      </c>
      <c r="H3" s="33" t="inlineStr">
        <is>
          <t>5Y CAGR
(%)</t>
        </is>
      </c>
      <c r="I3" s="33" t="inlineStr">
        <is>
          <t xml:space="preserve">Nifty 5Y
CAGR (%)	</t>
        </is>
      </c>
      <c r="J3" s="33" t="inlineStr">
        <is>
          <t>Invested
Value (₹)</t>
        </is>
      </c>
      <c r="K3" s="33" t="inlineStr">
        <is>
          <t>Current
Value (₹)</t>
        </is>
      </c>
      <c r="L3" s="33" t="inlineStr">
        <is>
          <t>P&amp;L (₹)</t>
        </is>
      </c>
      <c r="M3" s="33" t="inlineStr">
        <is>
          <t>Return %</t>
        </is>
      </c>
      <c r="N3" s="33" t="inlineStr">
        <is>
          <t>Approx
XIRR %</t>
        </is>
      </c>
      <c r="O3" s="33" t="inlineStr">
        <is>
          <t>Portfolio
Wt %</t>
        </is>
      </c>
      <c r="P3" s="93" t="inlineStr">
        <is>
          <t>Market Cap
(Large/Mid/Small)</t>
        </is>
      </c>
      <c r="Q3" s="93" t="inlineStr">
        <is>
          <t>Dividends
Received (₹)</t>
        </is>
      </c>
      <c r="R3" s="93" t="inlineStr">
        <is>
          <t>Target
Price (₹)</t>
        </is>
      </c>
      <c r="S3" s="93" t="inlineStr">
        <is>
          <t>Stop-Loss
Price (₹)</t>
        </is>
      </c>
      <c r="T3" s="93" t="inlineStr">
        <is>
          <t>Signal</t>
        </is>
      </c>
      <c r="U3" s="93" t="inlineStr">
        <is>
          <t>Tax Flag</t>
        </is>
      </c>
      <c r="V3" s="93" t="inlineStr">
        <is>
          <t>Total Return
(w/ Div)</t>
        </is>
      </c>
    </row>
    <row r="4" ht="16.5" customHeight="1" s="82">
      <c r="A4" s="37" t="inlineStr">
        <is>
          <t>ARCFIN</t>
        </is>
      </c>
      <c r="B4" s="36" t="inlineStr">
        <is>
          <t>BSE</t>
        </is>
      </c>
      <c r="C4" s="37" t="n"/>
      <c r="D4" s="41" t="n">
        <v>1800</v>
      </c>
      <c r="E4" s="54" t="n">
        <v>0.93</v>
      </c>
      <c r="F4" s="40" t="n"/>
      <c r="G4" s="54" t="n">
        <v>0.55</v>
      </c>
      <c r="H4" s="41" t="n"/>
      <c r="I4" s="41" t="n"/>
      <c r="J4" s="42">
        <f>IFERROR(D4*E4,"")</f>
        <v/>
      </c>
      <c r="K4" s="42">
        <f>IFERROR(D4*G4,"")</f>
        <v/>
      </c>
      <c r="L4" s="42">
        <f>IFERROR(K4-J4,"")</f>
        <v/>
      </c>
      <c r="M4" s="43">
        <f>IFERROR((K4-J4)/J4,"")</f>
        <v/>
      </c>
      <c r="N4" s="43">
        <f>IFERROR(IF(F4="","",((G4/E4)^(365/MAX(1,TODAY()-F4))-1)),"")</f>
        <v/>
      </c>
      <c r="O4" s="43">
        <f>IFERROR(K4/SUM($K$4:$K$53),"")</f>
        <v/>
      </c>
      <c r="T4">
        <f>IF(ISBLANK(G4), "", IF(AND(ISNUMBER(S4), G4&lt;=S4), "🚨 SELL", IF(AND(ISNUMBER(R4), G4&gt;=R4), "🎯 BOOK PROFIT", "Hold")))</f>
        <v/>
      </c>
      <c r="U4">
        <f>IF(ISBLANK(F4), "", IF(TODAY()-F4&gt;365, "LTCG", "STCG"))</f>
        <v/>
      </c>
      <c r="V4">
        <f>IF(ISBLANK(L4), "", L4+IF(ISNUMBER(Q4), Q4, 0))</f>
        <v/>
      </c>
    </row>
    <row r="5" ht="16.5" customHeight="1" s="82">
      <c r="A5" s="46" t="inlineStr">
        <is>
          <t>ASHOKLEY</t>
        </is>
      </c>
      <c r="B5" s="45" t="inlineStr">
        <is>
          <t>NSE</t>
        </is>
      </c>
      <c r="C5" s="46" t="n"/>
      <c r="D5" s="50" t="n">
        <v>8</v>
      </c>
      <c r="E5" s="53" t="n">
        <v>120.23</v>
      </c>
      <c r="F5" s="49" t="n"/>
      <c r="G5" s="53" t="n">
        <v>164.08</v>
      </c>
      <c r="H5" s="50" t="n"/>
      <c r="I5" s="50" t="n"/>
      <c r="J5" s="51">
        <f>IFERROR(D5*E5,"")</f>
        <v/>
      </c>
      <c r="K5" s="51">
        <f>IFERROR(D5*G5,"")</f>
        <v/>
      </c>
      <c r="L5" s="51">
        <f>IFERROR(K5-J5,"")</f>
        <v/>
      </c>
      <c r="M5" s="52">
        <f>IFERROR((K5-J5)/J5,"")</f>
        <v/>
      </c>
      <c r="N5" s="52">
        <f>IFERROR(IF(F5="","",((G5/E5)^(365/MAX(1,TODAY()-F5))-1)),"")</f>
        <v/>
      </c>
      <c r="O5" s="52">
        <f>IFERROR(K5/SUM($K$4:$K$53),"")</f>
        <v/>
      </c>
      <c r="T5">
        <f>IF(ISBLANK(G5), "", IF(AND(ISNUMBER(S5), G5&lt;=S5), "🚨 SELL", IF(AND(ISNUMBER(R5), G5&gt;=R5), "🎯 BOOK PROFIT", "Hold")))</f>
        <v/>
      </c>
      <c r="U5">
        <f>IF(ISBLANK(F5), "", IF(TODAY()-F5&gt;365, "LTCG", "STCG"))</f>
        <v/>
      </c>
      <c r="V5">
        <f>IF(ISBLANK(L5), "", L5+IF(ISNUMBER(Q5), Q5, 0))</f>
        <v/>
      </c>
    </row>
    <row r="6" ht="16.5" customHeight="1" s="82">
      <c r="A6" s="37" t="inlineStr">
        <is>
          <t>COALINDIA</t>
        </is>
      </c>
      <c r="B6" s="45" t="inlineStr">
        <is>
          <t>NSE</t>
        </is>
      </c>
      <c r="C6" s="37" t="n"/>
      <c r="D6" s="41" t="n">
        <v>10</v>
      </c>
      <c r="E6" s="54" t="n">
        <v>305.41</v>
      </c>
      <c r="F6" s="40" t="n"/>
      <c r="G6" s="54" t="n">
        <v>458</v>
      </c>
      <c r="H6" s="41" t="n"/>
      <c r="I6" s="41" t="n"/>
      <c r="J6" s="42">
        <f>IFERROR(D6*E6,"")</f>
        <v/>
      </c>
      <c r="K6" s="42">
        <f>IFERROR(D6*G6,"")</f>
        <v/>
      </c>
      <c r="L6" s="42">
        <f>IFERROR(K6-J6,"")</f>
        <v/>
      </c>
      <c r="M6" s="43">
        <f>IFERROR((K6-J6)/J6,"")</f>
        <v/>
      </c>
      <c r="N6" s="43">
        <f>IFERROR(IF(F6="","",((G6/E6)^(365/MAX(1,TODAY()-F6))-1)),"")</f>
        <v/>
      </c>
      <c r="O6" s="43">
        <f>IFERROR(K6/SUM($K$4:$K$53),"")</f>
        <v/>
      </c>
      <c r="T6">
        <f>IF(ISBLANK(G6), "", IF(AND(ISNUMBER(S6), G6&lt;=S6), "🚨 SELL", IF(AND(ISNUMBER(R6), G6&gt;=R6), "🎯 BOOK PROFIT", "Hold")))</f>
        <v/>
      </c>
      <c r="U6">
        <f>IF(ISBLANK(F6), "", IF(TODAY()-F6&gt;365, "LTCG", "STCG"))</f>
        <v/>
      </c>
      <c r="V6">
        <f>IF(ISBLANK(L6), "", L6+IF(ISNUMBER(Q6), Q6, 0))</f>
        <v/>
      </c>
    </row>
    <row r="7" ht="16.5" customHeight="1" s="82">
      <c r="A7" s="46" t="inlineStr">
        <is>
          <t>CPSEETF</t>
        </is>
      </c>
      <c r="B7" s="45" t="inlineStr">
        <is>
          <t>NSE</t>
        </is>
      </c>
      <c r="C7" s="46" t="n"/>
      <c r="D7" s="50" t="n">
        <v>1</v>
      </c>
      <c r="E7" s="53" t="n">
        <v>88.45</v>
      </c>
      <c r="F7" s="49" t="n"/>
      <c r="G7" s="53" t="n">
        <v>103.95</v>
      </c>
      <c r="H7" s="50" t="n"/>
      <c r="I7" s="50" t="n"/>
      <c r="J7" s="51">
        <f>IFERROR(D7*E7,"")</f>
        <v/>
      </c>
      <c r="K7" s="51">
        <f>IFERROR(D7*G7,"")</f>
        <v/>
      </c>
      <c r="L7" s="51">
        <f>IFERROR(K7-J7,"")</f>
        <v/>
      </c>
      <c r="M7" s="52">
        <f>IFERROR((K7-J7)/J7,"")</f>
        <v/>
      </c>
      <c r="N7" s="52">
        <f>IFERROR(IF(F7="","",((G7/E7)^(365/MAX(1,TODAY()-F7))-1)),"")</f>
        <v/>
      </c>
      <c r="O7" s="52">
        <f>IFERROR(K7/SUM($K$4:$K$53),"")</f>
        <v/>
      </c>
      <c r="T7">
        <f>IF(ISBLANK(G7), "", IF(AND(ISNUMBER(S7), G7&lt;=S7), "🚨 SELL", IF(AND(ISNUMBER(R7), G7&gt;=R7), "🎯 BOOK PROFIT", "Hold")))</f>
        <v/>
      </c>
      <c r="U7">
        <f>IF(ISBLANK(F7), "", IF(TODAY()-F7&gt;365, "LTCG", "STCG"))</f>
        <v/>
      </c>
      <c r="V7">
        <f>IF(ISBLANK(L7), "", L7+IF(ISNUMBER(Q7), Q7, 0))</f>
        <v/>
      </c>
    </row>
    <row r="8" ht="16.5" customHeight="1" s="82">
      <c r="A8" s="37" t="inlineStr">
        <is>
          <t>GOLDBEES</t>
        </is>
      </c>
      <c r="B8" s="45" t="inlineStr">
        <is>
          <t>NSE</t>
        </is>
      </c>
      <c r="C8" s="37" t="n"/>
      <c r="D8" s="41" t="n">
        <v>10</v>
      </c>
      <c r="E8" s="54" t="n">
        <v>60.71</v>
      </c>
      <c r="F8" s="40" t="n"/>
      <c r="G8" s="54" t="n">
        <v>130.51</v>
      </c>
      <c r="H8" s="41" t="n"/>
      <c r="I8" s="41" t="n"/>
      <c r="J8" s="42">
        <f>IFERROR(D8*E8,"")</f>
        <v/>
      </c>
      <c r="K8" s="42">
        <f>IFERROR(D8*G8,"")</f>
        <v/>
      </c>
      <c r="L8" s="42">
        <f>IFERROR(K8-J8,"")</f>
        <v/>
      </c>
      <c r="M8" s="43">
        <f>IFERROR((K8-J8)/J8,"")</f>
        <v/>
      </c>
      <c r="N8" s="43">
        <f>IFERROR(IF(F8="","",((G8/E8)^(365/MAX(1,TODAY()-F8))-1)),"")</f>
        <v/>
      </c>
      <c r="O8" s="43">
        <f>IFERROR(K8/SUM($K$4:$K$53),"")</f>
        <v/>
      </c>
      <c r="T8">
        <f>IF(ISBLANK(G8), "", IF(AND(ISNUMBER(S8), G8&lt;=S8), "🚨 SELL", IF(AND(ISNUMBER(R8), G8&gt;=R8), "🎯 BOOK PROFIT", "Hold")))</f>
        <v/>
      </c>
      <c r="U8">
        <f>IF(ISBLANK(F8), "", IF(TODAY()-F8&gt;365, "LTCG", "STCG"))</f>
        <v/>
      </c>
      <c r="V8">
        <f>IF(ISBLANK(L8), "", L8+IF(ISNUMBER(Q8), Q8, 0))</f>
        <v/>
      </c>
    </row>
    <row r="9" ht="16.5" customHeight="1" s="82">
      <c r="A9" s="46" t="inlineStr">
        <is>
          <t>HDFCBANK</t>
        </is>
      </c>
      <c r="B9" s="45" t="inlineStr">
        <is>
          <t>NSE</t>
        </is>
      </c>
      <c r="C9" s="46" t="n"/>
      <c r="D9" s="50" t="n">
        <v>2</v>
      </c>
      <c r="E9" s="53" t="n">
        <v>755.08</v>
      </c>
      <c r="F9" s="49" t="n"/>
      <c r="G9" s="53" t="n">
        <v>786.85</v>
      </c>
      <c r="H9" s="50" t="n"/>
      <c r="I9" s="50" t="n"/>
      <c r="J9" s="51">
        <f>IFERROR(D9*E9,"")</f>
        <v/>
      </c>
      <c r="K9" s="51">
        <f>IFERROR(D9*G9,"")</f>
        <v/>
      </c>
      <c r="L9" s="51">
        <f>IFERROR(K9-J9,"")</f>
        <v/>
      </c>
      <c r="M9" s="52">
        <f>IFERROR((K9-J9)/J9,"")</f>
        <v/>
      </c>
      <c r="N9" s="52">
        <f>IFERROR(IF(F9="","",((G9/E9)^(365/MAX(1,TODAY()-F9))-1)),"")</f>
        <v/>
      </c>
      <c r="O9" s="52">
        <f>IFERROR(K9/SUM($K$4:$K$53),"")</f>
        <v/>
      </c>
      <c r="T9">
        <f>IF(ISBLANK(G9), "", IF(AND(ISNUMBER(S9), G9&lt;=S9), "🚨 SELL", IF(AND(ISNUMBER(R9), G9&gt;=R9), "🎯 BOOK PROFIT", "Hold")))</f>
        <v/>
      </c>
      <c r="U9">
        <f>IF(ISBLANK(F9), "", IF(TODAY()-F9&gt;365, "LTCG", "STCG"))</f>
        <v/>
      </c>
      <c r="V9">
        <f>IF(ISBLANK(L9), "", L9+IF(ISNUMBER(Q9), Q9, 0))</f>
        <v/>
      </c>
    </row>
    <row r="10" ht="16.5" customHeight="1" s="82">
      <c r="A10" s="37" t="inlineStr">
        <is>
          <t>HDFCSML250</t>
        </is>
      </c>
      <c r="B10" s="45" t="inlineStr">
        <is>
          <t>NSE</t>
        </is>
      </c>
      <c r="C10" s="37" t="n"/>
      <c r="D10" s="41" t="n">
        <v>1</v>
      </c>
      <c r="E10" s="54" t="n">
        <v>160.2</v>
      </c>
      <c r="F10" s="40" t="n"/>
      <c r="G10" s="54" t="n">
        <v>171.1</v>
      </c>
      <c r="H10" s="41" t="n"/>
      <c r="I10" s="41" t="n"/>
      <c r="J10" s="42">
        <f>IFERROR(D10*E10,"")</f>
        <v/>
      </c>
      <c r="K10" s="42">
        <f>IFERROR(D10*G10,"")</f>
        <v/>
      </c>
      <c r="L10" s="42">
        <f>IFERROR(K10-J10,"")</f>
        <v/>
      </c>
      <c r="M10" s="43">
        <f>IFERROR((K10-J10)/J10,"")</f>
        <v/>
      </c>
      <c r="N10" s="43">
        <f>IFERROR(IF(F10="","",((G10/E10)^(365/MAX(1,TODAY()-F10))-1)),"")</f>
        <v/>
      </c>
      <c r="O10" s="43">
        <f>IFERROR(K10/SUM($K$4:$K$53),"")</f>
        <v/>
      </c>
      <c r="T10">
        <f>IF(ISBLANK(G10), "", IF(AND(ISNUMBER(S10), G10&lt;=S10), "🚨 SELL", IF(AND(ISNUMBER(R10), G10&gt;=R10), "🎯 BOOK PROFIT", "Hold")))</f>
        <v/>
      </c>
      <c r="U10">
        <f>IF(ISBLANK(F10), "", IF(TODAY()-F10&gt;365, "LTCG", "STCG"))</f>
        <v/>
      </c>
      <c r="V10">
        <f>IF(ISBLANK(L10), "", L10+IF(ISNUMBER(Q10), Q10, 0))</f>
        <v/>
      </c>
    </row>
    <row r="11" ht="16.5" customHeight="1" s="82">
      <c r="A11" s="37" t="inlineStr">
        <is>
          <t>HYUNDAI</t>
        </is>
      </c>
      <c r="B11" s="45" t="inlineStr">
        <is>
          <t>NSE</t>
        </is>
      </c>
      <c r="C11" s="46" t="n"/>
      <c r="D11" s="50" t="n">
        <v>7</v>
      </c>
      <c r="E11" s="53" t="n">
        <v>1960</v>
      </c>
      <c r="F11" s="49" t="n"/>
      <c r="G11" s="53" t="n">
        <v>1880.9</v>
      </c>
      <c r="H11" s="50" t="n"/>
      <c r="I11" s="50" t="n"/>
      <c r="J11" s="51">
        <f>IFERROR(D11*E11,"")</f>
        <v/>
      </c>
      <c r="K11" s="51">
        <f>IFERROR(D11*G11,"")</f>
        <v/>
      </c>
      <c r="L11" s="51">
        <f>IFERROR(K11-J11,"")</f>
        <v/>
      </c>
      <c r="M11" s="52">
        <f>IFERROR((K11-J11)/J11,"")</f>
        <v/>
      </c>
      <c r="N11" s="52">
        <f>IFERROR(IF(F11="","",((G11/E11)^(365/MAX(1,TODAY()-F11))-1)),"")</f>
        <v/>
      </c>
      <c r="O11" s="52">
        <f>IFERROR(K11/SUM($K$4:$K$53),"")</f>
        <v/>
      </c>
      <c r="T11">
        <f>IF(ISBLANK(G11), "", IF(AND(ISNUMBER(S11), G11&lt;=S11), "🚨 SELL", IF(AND(ISNUMBER(R11), G11&gt;=R11), "🎯 BOOK PROFIT", "Hold")))</f>
        <v/>
      </c>
      <c r="U11">
        <f>IF(ISBLANK(F11), "", IF(TODAY()-F11&gt;365, "LTCG", "STCG"))</f>
        <v/>
      </c>
      <c r="V11">
        <f>IF(ISBLANK(L11), "", L11+IF(ISNUMBER(Q11), Q11, 0))</f>
        <v/>
      </c>
    </row>
    <row r="12" ht="16.5" customHeight="1" s="82">
      <c r="A12" s="46" t="inlineStr">
        <is>
          <t>IDEA</t>
        </is>
      </c>
      <c r="B12" s="45" t="inlineStr">
        <is>
          <t>NSE</t>
        </is>
      </c>
      <c r="C12" s="37" t="n"/>
      <c r="D12" s="41" t="n">
        <v>700</v>
      </c>
      <c r="E12" s="54" t="n">
        <v>11</v>
      </c>
      <c r="F12" s="40" t="n"/>
      <c r="G12" s="54" t="n">
        <v>14.04</v>
      </c>
      <c r="H12" s="41" t="n"/>
      <c r="I12" s="41" t="n"/>
      <c r="J12" s="42">
        <f>IFERROR(D12*E12,"")</f>
        <v/>
      </c>
      <c r="K12" s="42">
        <f>IFERROR(D12*G12,"")</f>
        <v/>
      </c>
      <c r="L12" s="42">
        <f>IFERROR(K12-J12,"")</f>
        <v/>
      </c>
      <c r="M12" s="43">
        <f>IFERROR((K12-J12)/J12,"")</f>
        <v/>
      </c>
      <c r="N12" s="43">
        <f>IFERROR(IF(F12="","",((G12/E12)^(365/MAX(1,TODAY()-F12))-1)),"")</f>
        <v/>
      </c>
      <c r="O12" s="43">
        <f>IFERROR(K12/SUM($K$4:$K$53),"")</f>
        <v/>
      </c>
      <c r="T12">
        <f>IF(ISBLANK(G12), "", IF(AND(ISNUMBER(S12), G12&lt;=S12), "🚨 SELL", IF(AND(ISNUMBER(R12), G12&gt;=R12), "🎯 BOOK PROFIT", "Hold")))</f>
        <v/>
      </c>
      <c r="U12">
        <f>IF(ISBLANK(F12), "", IF(TODAY()-F12&gt;365, "LTCG", "STCG"))</f>
        <v/>
      </c>
      <c r="V12">
        <f>IF(ISBLANK(L12), "", L12+IF(ISNUMBER(Q12), Q12, 0))</f>
        <v/>
      </c>
    </row>
    <row r="13" ht="16.5" customHeight="1" s="82">
      <c r="A13" s="37" t="inlineStr">
        <is>
          <t>IRFC</t>
        </is>
      </c>
      <c r="B13" s="45" t="inlineStr">
        <is>
          <t>NSE</t>
        </is>
      </c>
      <c r="C13" s="46" t="n"/>
      <c r="D13" s="50" t="n">
        <v>10</v>
      </c>
      <c r="E13" s="53" t="n">
        <v>77.15000000000001</v>
      </c>
      <c r="F13" s="49" t="n"/>
      <c r="G13" s="53" t="n">
        <v>100.45</v>
      </c>
      <c r="H13" s="50" t="n"/>
      <c r="I13" s="50" t="n"/>
      <c r="J13" s="51">
        <f>IFERROR(D13*E13,"")</f>
        <v/>
      </c>
      <c r="K13" s="51">
        <f>IFERROR(D13*G13,"")</f>
        <v/>
      </c>
      <c r="L13" s="51">
        <f>IFERROR(K13-J13,"")</f>
        <v/>
      </c>
      <c r="M13" s="52">
        <f>IFERROR((K13-J13)/J13,"")</f>
        <v/>
      </c>
      <c r="N13" s="52">
        <f>IFERROR(IF(F13="","",((G13/E13)^(365/MAX(1,TODAY()-F13))-1)),"")</f>
        <v/>
      </c>
      <c r="O13" s="52">
        <f>IFERROR(K13/SUM($K$4:$K$53),"")</f>
        <v/>
      </c>
      <c r="T13">
        <f>IF(ISBLANK(G13), "", IF(AND(ISNUMBER(S13), G13&lt;=S13), "🚨 SELL", IF(AND(ISNUMBER(R13), G13&gt;=R13), "🎯 BOOK PROFIT", "Hold")))</f>
        <v/>
      </c>
      <c r="U13">
        <f>IF(ISBLANK(F13), "", IF(TODAY()-F13&gt;365, "LTCG", "STCG"))</f>
        <v/>
      </c>
      <c r="V13">
        <f>IF(ISBLANK(L13), "", L13+IF(ISNUMBER(Q13), Q13, 0))</f>
        <v/>
      </c>
    </row>
    <row r="14" ht="16.5" customHeight="1" s="82">
      <c r="A14" s="46" t="inlineStr">
        <is>
          <t>LTGILTBEES</t>
        </is>
      </c>
      <c r="B14" s="45" t="inlineStr">
        <is>
          <t>NSE</t>
        </is>
      </c>
      <c r="C14" s="37" t="n"/>
      <c r="D14" s="41" t="n">
        <v>6</v>
      </c>
      <c r="E14" s="54" t="n">
        <v>25.75</v>
      </c>
      <c r="F14" s="40" t="n"/>
      <c r="G14" s="54" t="n">
        <v>29.19</v>
      </c>
      <c r="H14" s="41" t="n"/>
      <c r="I14" s="41" t="n"/>
      <c r="J14" s="42">
        <f>IFERROR(D14*E14,"")</f>
        <v/>
      </c>
      <c r="K14" s="42">
        <f>IFERROR(D14*G14,"")</f>
        <v/>
      </c>
      <c r="L14" s="42">
        <f>IFERROR(K14-J14,"")</f>
        <v/>
      </c>
      <c r="M14" s="43">
        <f>IFERROR((K14-J14)/J14,"")</f>
        <v/>
      </c>
      <c r="N14" s="43">
        <f>IFERROR(IF(F14="","",((G14/E14)^(365/MAX(1,TODAY()-F14))-1)),"")</f>
        <v/>
      </c>
      <c r="O14" s="43">
        <f>IFERROR(K14/SUM($K$4:$K$53),"")</f>
        <v/>
      </c>
      <c r="T14">
        <f>IF(ISBLANK(G14), "", IF(AND(ISNUMBER(S14), G14&lt;=S14), "🚨 SELL", IF(AND(ISNUMBER(R14), G14&gt;=R14), "🎯 BOOK PROFIT", "Hold")))</f>
        <v/>
      </c>
      <c r="U14">
        <f>IF(ISBLANK(F14), "", IF(TODAY()-F14&gt;365, "LTCG", "STCG"))</f>
        <v/>
      </c>
      <c r="V14">
        <f>IF(ISBLANK(L14), "", L14+IF(ISNUMBER(Q14), Q14, 0))</f>
        <v/>
      </c>
    </row>
    <row r="15" ht="16.5" customHeight="1" s="82">
      <c r="A15" s="37" t="inlineStr">
        <is>
          <t>MID150BEES</t>
        </is>
      </c>
      <c r="B15" s="45" t="inlineStr">
        <is>
          <t>NSE</t>
        </is>
      </c>
      <c r="C15" s="46" t="n"/>
      <c r="D15" s="50" t="n">
        <v>1</v>
      </c>
      <c r="E15" s="53" t="n">
        <v>203.35</v>
      </c>
      <c r="F15" s="49" t="n"/>
      <c r="G15" s="53" t="n">
        <v>233.95</v>
      </c>
      <c r="H15" s="50" t="n"/>
      <c r="I15" s="50" t="n"/>
      <c r="J15" s="51">
        <f>IFERROR(D15*E15,"")</f>
        <v/>
      </c>
      <c r="K15" s="51">
        <f>IFERROR(D15*G15,"")</f>
        <v/>
      </c>
      <c r="L15" s="51">
        <f>IFERROR(K15-J15,"")</f>
        <v/>
      </c>
      <c r="M15" s="52">
        <f>IFERROR((K15-J15)/J15,"")</f>
        <v/>
      </c>
      <c r="N15" s="52">
        <f>IFERROR(IF(F15="","",((G15/E15)^(365/MAX(1,TODAY()-F15))-1)),"")</f>
        <v/>
      </c>
      <c r="O15" s="52">
        <f>IFERROR(K15/SUM($K$4:$K$53),"")</f>
        <v/>
      </c>
      <c r="T15">
        <f>IF(ISBLANK(G15), "", IF(AND(ISNUMBER(S15), G15&lt;=S15), "🚨 SELL", IF(AND(ISNUMBER(R15), G15&gt;=R15), "🎯 BOOK PROFIT", "Hold")))</f>
        <v/>
      </c>
      <c r="U15">
        <f>IF(ISBLANK(F15), "", IF(TODAY()-F15&gt;365, "LTCG", "STCG"))</f>
        <v/>
      </c>
      <c r="V15">
        <f>IF(ISBLANK(L15), "", L15+IF(ISNUMBER(Q15), Q15, 0))</f>
        <v/>
      </c>
    </row>
    <row r="16" ht="16.5" customHeight="1" s="82">
      <c r="A16" s="46" t="inlineStr">
        <is>
          <t>MON100</t>
        </is>
      </c>
      <c r="B16" s="45" t="inlineStr">
        <is>
          <t>NSE</t>
        </is>
      </c>
      <c r="C16" s="37" t="n"/>
      <c r="D16" s="41" t="n">
        <v>2</v>
      </c>
      <c r="E16" s="54" t="n">
        <v>145.1</v>
      </c>
      <c r="F16" s="40" t="n"/>
      <c r="G16" s="54" t="n">
        <v>330.7</v>
      </c>
      <c r="H16" s="41" t="n"/>
      <c r="I16" s="41" t="n"/>
      <c r="J16" s="42">
        <f>IFERROR(D16*E16,"")</f>
        <v/>
      </c>
      <c r="K16" s="42">
        <f>IFERROR(D16*G16,"")</f>
        <v/>
      </c>
      <c r="L16" s="42">
        <f>IFERROR(K16-J16,"")</f>
        <v/>
      </c>
      <c r="M16" s="43">
        <f>IFERROR((K16-J16)/J16,"")</f>
        <v/>
      </c>
      <c r="N16" s="43">
        <f>IFERROR(IF(F16="","",((G16/E16)^(365/MAX(1,TODAY()-F16))-1)),"")</f>
        <v/>
      </c>
      <c r="O16" s="43">
        <f>IFERROR(K16/SUM($K$4:$K$53),"")</f>
        <v/>
      </c>
      <c r="T16">
        <f>IF(ISBLANK(G16), "", IF(AND(ISNUMBER(S16), G16&lt;=S16), "🚨 SELL", IF(AND(ISNUMBER(R16), G16&gt;=R16), "🎯 BOOK PROFIT", "Hold")))</f>
        <v/>
      </c>
      <c r="U16">
        <f>IF(ISBLANK(F16), "", IF(TODAY()-F16&gt;365, "LTCG", "STCG"))</f>
        <v/>
      </c>
      <c r="V16">
        <f>IF(ISBLANK(L16), "", L16+IF(ISNUMBER(Q16), Q16, 0))</f>
        <v/>
      </c>
    </row>
    <row r="17" ht="16.5" customHeight="1" s="82">
      <c r="A17" s="37" t="inlineStr">
        <is>
          <t>NHPC</t>
        </is>
      </c>
      <c r="B17" s="45" t="inlineStr">
        <is>
          <t>NSE</t>
        </is>
      </c>
      <c r="C17" s="46" t="n"/>
      <c r="D17" s="50" t="n">
        <v>10</v>
      </c>
      <c r="E17" s="53" t="n">
        <v>85.59999999999999</v>
      </c>
      <c r="F17" s="49" t="n"/>
      <c r="G17" s="53" t="n">
        <v>79.02</v>
      </c>
      <c r="H17" s="50" t="n"/>
      <c r="I17" s="50" t="n"/>
      <c r="J17" s="51">
        <f>IFERROR(D17*E17,"")</f>
        <v/>
      </c>
      <c r="K17" s="51">
        <f>IFERROR(D17*G17,"")</f>
        <v/>
      </c>
      <c r="L17" s="51">
        <f>IFERROR(K17-J17,"")</f>
        <v/>
      </c>
      <c r="M17" s="52">
        <f>IFERROR((K17-J17)/J17,"")</f>
        <v/>
      </c>
      <c r="N17" s="52">
        <f>IFERROR(IF(F17="","",((G17/E17)^(365/MAX(1,TODAY()-F17))-1)),"")</f>
        <v/>
      </c>
      <c r="O17" s="52">
        <f>IFERROR(K17/SUM($K$4:$K$53),"")</f>
        <v/>
      </c>
      <c r="T17">
        <f>IF(ISBLANK(G17), "", IF(AND(ISNUMBER(S17), G17&lt;=S17), "🚨 SELL", IF(AND(ISNUMBER(R17), G17&gt;=R17), "🎯 BOOK PROFIT", "Hold")))</f>
        <v/>
      </c>
      <c r="U17">
        <f>IF(ISBLANK(F17), "", IF(TODAY()-F17&gt;365, "LTCG", "STCG"))</f>
        <v/>
      </c>
      <c r="V17">
        <f>IF(ISBLANK(L17), "", L17+IF(ISNUMBER(Q17), Q17, 0))</f>
        <v/>
      </c>
    </row>
    <row r="18" ht="16.5" customHeight="1" s="82">
      <c r="A18" s="37" t="inlineStr">
        <is>
          <t>NIFTYBEES</t>
        </is>
      </c>
      <c r="B18" s="45" t="inlineStr">
        <is>
          <t>NSE</t>
        </is>
      </c>
      <c r="C18" s="37" t="n"/>
      <c r="D18" s="41" t="n">
        <v>1</v>
      </c>
      <c r="E18" s="54" t="n">
        <v>251.83</v>
      </c>
      <c r="F18" s="40" t="n"/>
      <c r="G18" s="54" t="n">
        <v>271.99</v>
      </c>
      <c r="H18" s="41" t="n"/>
      <c r="I18" s="41" t="n"/>
      <c r="J18" s="42">
        <f>IFERROR(D18*E18,"")</f>
        <v/>
      </c>
      <c r="K18" s="42">
        <f>IFERROR(D18*G18,"")</f>
        <v/>
      </c>
      <c r="L18" s="42">
        <f>IFERROR(K18-J18,"")</f>
        <v/>
      </c>
      <c r="M18" s="43">
        <f>IFERROR((K18-J18)/J18,"")</f>
        <v/>
      </c>
      <c r="N18" s="43">
        <f>IFERROR(IF(F18="","",((G18/E18)^(365/MAX(1,TODAY()-F18))-1)),"")</f>
        <v/>
      </c>
      <c r="O18" s="43">
        <f>IFERROR(K18/SUM($K$4:$K$53),"")</f>
        <v/>
      </c>
      <c r="T18">
        <f>IF(ISBLANK(G18), "", IF(AND(ISNUMBER(S18), G18&lt;=S18), "🚨 SELL", IF(AND(ISNUMBER(R18), G18&gt;=R18), "🎯 BOOK PROFIT", "Hold")))</f>
        <v/>
      </c>
      <c r="U18">
        <f>IF(ISBLANK(F18), "", IF(TODAY()-F18&gt;365, "LTCG", "STCG"))</f>
        <v/>
      </c>
      <c r="V18">
        <f>IF(ISBLANK(L18), "", L18+IF(ISNUMBER(Q18), Q18, 0))</f>
        <v/>
      </c>
    </row>
    <row r="19" ht="16.5" customHeight="1" s="82">
      <c r="A19" s="46" t="inlineStr">
        <is>
          <t>POWERGRID</t>
        </is>
      </c>
      <c r="B19" s="45" t="inlineStr">
        <is>
          <t>NSE</t>
        </is>
      </c>
      <c r="C19" s="46" t="n"/>
      <c r="D19" s="50" t="n">
        <v>2</v>
      </c>
      <c r="E19" s="53" t="n">
        <v>264.21</v>
      </c>
      <c r="F19" s="49" t="n"/>
      <c r="G19" s="53" t="n">
        <v>295.35</v>
      </c>
      <c r="H19" s="50" t="n"/>
      <c r="I19" s="50" t="n"/>
      <c r="J19" s="51">
        <f>IFERROR(D19*E19,"")</f>
        <v/>
      </c>
      <c r="K19" s="51">
        <f>IFERROR(D19*G19,"")</f>
        <v/>
      </c>
      <c r="L19" s="51">
        <f>IFERROR(K19-J19,"")</f>
        <v/>
      </c>
      <c r="M19" s="52">
        <f>IFERROR((K19-J19)/J19,"")</f>
        <v/>
      </c>
      <c r="N19" s="52">
        <f>IFERROR(IF(F19="","",((G19/E19)^(365/MAX(1,TODAY()-F19))-1)),"")</f>
        <v/>
      </c>
      <c r="O19" s="52">
        <f>IFERROR(K19/SUM($K$4:$K$53),"")</f>
        <v/>
      </c>
      <c r="T19">
        <f>IF(ISBLANK(G19), "", IF(AND(ISNUMBER(S19), G19&lt;=S19), "🚨 SELL", IF(AND(ISNUMBER(R19), G19&gt;=R19), "🎯 BOOK PROFIT", "Hold")))</f>
        <v/>
      </c>
      <c r="U19">
        <f>IF(ISBLANK(F19), "", IF(TODAY()-F19&gt;365, "LTCG", "STCG"))</f>
        <v/>
      </c>
      <c r="V19">
        <f>IF(ISBLANK(L19), "", L19+IF(ISNUMBER(Q19), Q19, 0))</f>
        <v/>
      </c>
    </row>
    <row r="20" ht="16.5" customHeight="1" s="82">
      <c r="A20" s="37" t="inlineStr">
        <is>
          <t>RAMASTEEL</t>
        </is>
      </c>
      <c r="B20" s="45" t="inlineStr">
        <is>
          <t>NSE</t>
        </is>
      </c>
      <c r="C20" s="37" t="n"/>
      <c r="D20" s="41" t="n">
        <v>30</v>
      </c>
      <c r="E20" s="54" t="n">
        <v>12.38</v>
      </c>
      <c r="F20" s="40" t="n"/>
      <c r="G20" s="54" t="n">
        <v>5.31</v>
      </c>
      <c r="H20" s="41" t="n"/>
      <c r="I20" s="41" t="n"/>
      <c r="J20" s="42">
        <f>IFERROR(D20*E20,"")</f>
        <v/>
      </c>
      <c r="K20" s="42">
        <f>IFERROR(D20*G20,"")</f>
        <v/>
      </c>
      <c r="L20" s="42">
        <f>IFERROR(K20-J20,"")</f>
        <v/>
      </c>
      <c r="M20" s="43">
        <f>IFERROR((K20-J20)/J20,"")</f>
        <v/>
      </c>
      <c r="N20" s="43">
        <f>IFERROR(IF(F20="","",((G20/E20)^(365/MAX(1,TODAY()-F20))-1)),"")</f>
        <v/>
      </c>
      <c r="O20" s="43">
        <f>IFERROR(K20/SUM($K$4:$K$53),"")</f>
        <v/>
      </c>
      <c r="T20">
        <f>IF(ISBLANK(G20), "", IF(AND(ISNUMBER(S20), G20&lt;=S20), "🚨 SELL", IF(AND(ISNUMBER(R20), G20&gt;=R20), "🎯 BOOK PROFIT", "Hold")))</f>
        <v/>
      </c>
      <c r="U20">
        <f>IF(ISBLANK(F20), "", IF(TODAY()-F20&gt;365, "LTCG", "STCG"))</f>
        <v/>
      </c>
      <c r="V20">
        <f>IF(ISBLANK(L20), "", L20+IF(ISNUMBER(Q20), Q20, 0))</f>
        <v/>
      </c>
    </row>
    <row r="21" ht="16.5" customHeight="1" s="82">
      <c r="A21" s="46" t="inlineStr">
        <is>
          <t>SAIL</t>
        </is>
      </c>
      <c r="B21" s="45" t="inlineStr">
        <is>
          <t>NSE</t>
        </is>
      </c>
      <c r="C21" s="46" t="n"/>
      <c r="D21" s="50" t="n">
        <v>10</v>
      </c>
      <c r="E21" s="53" t="n">
        <v>94.15000000000001</v>
      </c>
      <c r="F21" s="49" t="n"/>
      <c r="G21" s="53" t="n">
        <v>198.32</v>
      </c>
      <c r="H21" s="50" t="n"/>
      <c r="I21" s="50" t="n"/>
      <c r="J21" s="51">
        <f>IFERROR(D21*E21,"")</f>
        <v/>
      </c>
      <c r="K21" s="51">
        <f>IFERROR(D21*G21,"")</f>
        <v/>
      </c>
      <c r="L21" s="51">
        <f>IFERROR(K21-J21,"")</f>
        <v/>
      </c>
      <c r="M21" s="52">
        <f>IFERROR((K21-J21)/J21,"")</f>
        <v/>
      </c>
      <c r="N21" s="52">
        <f>IFERROR(IF(F21="","",((G21/E21)^(365/MAX(1,TODAY()-F21))-1)),"")</f>
        <v/>
      </c>
      <c r="O21" s="52">
        <f>IFERROR(K21/SUM($K$4:$K$53),"")</f>
        <v/>
      </c>
      <c r="T21">
        <f>IF(ISBLANK(G21), "", IF(AND(ISNUMBER(S21), G21&lt;=S21), "🚨 SELL", IF(AND(ISNUMBER(R21), G21&gt;=R21), "🎯 BOOK PROFIT", "Hold")))</f>
        <v/>
      </c>
      <c r="U21">
        <f>IF(ISBLANK(F21), "", IF(TODAY()-F21&gt;365, "LTCG", "STCG"))</f>
        <v/>
      </c>
      <c r="V21">
        <f>IF(ISBLANK(L21), "", L21+IF(ISNUMBER(Q21), Q21, 0))</f>
        <v/>
      </c>
    </row>
    <row r="22" ht="16.5" customHeight="1" s="82">
      <c r="A22" s="37" t="inlineStr">
        <is>
          <t>SBIN</t>
        </is>
      </c>
      <c r="B22" s="45" t="inlineStr">
        <is>
          <t>NSE</t>
        </is>
      </c>
      <c r="C22" s="37" t="n"/>
      <c r="D22" s="41" t="n">
        <v>2</v>
      </c>
      <c r="E22" s="54" t="n">
        <v>816</v>
      </c>
      <c r="F22" s="40" t="n"/>
      <c r="G22" s="54" t="n">
        <v>969.6</v>
      </c>
      <c r="H22" s="41" t="n"/>
      <c r="I22" s="41" t="n"/>
      <c r="J22" s="42">
        <f>IFERROR(D22*E22,"")</f>
        <v/>
      </c>
      <c r="K22" s="42">
        <f>IFERROR(D22*G22,"")</f>
        <v/>
      </c>
      <c r="L22" s="42">
        <f>IFERROR(K22-J22,"")</f>
        <v/>
      </c>
      <c r="M22" s="43">
        <f>IFERROR((K22-J22)/J22,"")</f>
        <v/>
      </c>
      <c r="N22" s="43">
        <f>IFERROR(IF(F22="","",((G22/E22)^(365/MAX(1,TODAY()-F22))-1)),"")</f>
        <v/>
      </c>
      <c r="O22" s="43">
        <f>IFERROR(K22/SUM($K$4:$K$53),"")</f>
        <v/>
      </c>
      <c r="T22">
        <f>IF(ISBLANK(G22), "", IF(AND(ISNUMBER(S22), G22&lt;=S22), "🚨 SELL", IF(AND(ISNUMBER(R22), G22&gt;=R22), "🎯 BOOK PROFIT", "Hold")))</f>
        <v/>
      </c>
      <c r="U22">
        <f>IF(ISBLANK(F22), "", IF(TODAY()-F22&gt;365, "LTCG", "STCG"))</f>
        <v/>
      </c>
      <c r="V22">
        <f>IF(ISBLANK(L22), "", L22+IF(ISNUMBER(Q22), Q22, 0))</f>
        <v/>
      </c>
    </row>
    <row r="23" ht="16.5" customHeight="1" s="82">
      <c r="A23" s="46" t="inlineStr">
        <is>
          <t>SERVOTECH</t>
        </is>
      </c>
      <c r="B23" s="45" t="inlineStr">
        <is>
          <t>NSE</t>
        </is>
      </c>
      <c r="C23" s="46" t="n"/>
      <c r="D23" s="50" t="n">
        <v>15</v>
      </c>
      <c r="E23" s="53" t="n">
        <v>78.14</v>
      </c>
      <c r="F23" s="49" t="n"/>
      <c r="G23" s="53" t="n">
        <v>95.33</v>
      </c>
      <c r="H23" s="50" t="n"/>
      <c r="I23" s="50" t="n"/>
      <c r="J23" s="51">
        <f>IFERROR(D23*E23,"")</f>
        <v/>
      </c>
      <c r="K23" s="51">
        <f>IFERROR(D23*G23,"")</f>
        <v/>
      </c>
      <c r="L23" s="51">
        <f>IFERROR(K23-J23,"")</f>
        <v/>
      </c>
      <c r="M23" s="52">
        <f>IFERROR((K23-J23)/J23,"")</f>
        <v/>
      </c>
      <c r="N23" s="52">
        <f>IFERROR(IF(F23="","",((G23/E23)^(365/MAX(1,TODAY()-F23))-1)),"")</f>
        <v/>
      </c>
      <c r="O23" s="52">
        <f>IFERROR(K23/SUM($K$4:$K$53),"")</f>
        <v/>
      </c>
      <c r="T23">
        <f>IF(ISBLANK(G23), "", IF(AND(ISNUMBER(S23), G23&lt;=S23), "🚨 SELL", IF(AND(ISNUMBER(R23), G23&gt;=R23), "🎯 BOOK PROFIT", "Hold")))</f>
        <v/>
      </c>
      <c r="U23">
        <f>IF(ISBLANK(F23), "", IF(TODAY()-F23&gt;365, "LTCG", "STCG"))</f>
        <v/>
      </c>
      <c r="V23">
        <f>IF(ISBLANK(L23), "", L23+IF(ISNUMBER(Q23), Q23, 0))</f>
        <v/>
      </c>
    </row>
    <row r="24" ht="16.5" customHeight="1" s="82">
      <c r="A24" s="37" t="inlineStr">
        <is>
          <t>TITAN</t>
        </is>
      </c>
      <c r="B24" s="45" t="inlineStr">
        <is>
          <t>NSE</t>
        </is>
      </c>
      <c r="C24" s="37" t="n"/>
      <c r="D24" s="41" t="n">
        <v>1</v>
      </c>
      <c r="E24" s="54" t="n">
        <v>2741.16</v>
      </c>
      <c r="F24" s="40" t="n"/>
      <c r="G24" s="54" t="n">
        <v>4159.2</v>
      </c>
      <c r="H24" s="41" t="n"/>
      <c r="I24" s="41" t="n"/>
      <c r="J24" s="42">
        <f>IFERROR(D24*E24,"")</f>
        <v/>
      </c>
      <c r="K24" s="42">
        <f>IFERROR(D24*G24,"")</f>
        <v/>
      </c>
      <c r="L24" s="42">
        <f>IFERROR(K24-J24,"")</f>
        <v/>
      </c>
      <c r="M24" s="43">
        <f>IFERROR((K24-J24)/J24,"")</f>
        <v/>
      </c>
      <c r="N24" s="43">
        <f>IFERROR(IF(F24="","",((G24/E24)^(365/MAX(1,TODAY()-F24))-1)),"")</f>
        <v/>
      </c>
      <c r="O24" s="43">
        <f>IFERROR(K24/SUM($K$4:$K$53),"")</f>
        <v/>
      </c>
      <c r="T24">
        <f>IF(ISBLANK(G24), "", IF(AND(ISNUMBER(S24), G24&lt;=S24), "🚨 SELL", IF(AND(ISNUMBER(R24), G24&gt;=R24), "🎯 BOOK PROFIT", "Hold")))</f>
        <v/>
      </c>
      <c r="U24">
        <f>IF(ISBLANK(F24), "", IF(TODAY()-F24&gt;365, "LTCG", "STCG"))</f>
        <v/>
      </c>
      <c r="V24">
        <f>IF(ISBLANK(L24), "", L24+IF(ISNUMBER(Q24), Q24, 0))</f>
        <v/>
      </c>
    </row>
    <row r="25" ht="16.5" customHeight="1" s="82">
      <c r="A25" s="37" t="inlineStr">
        <is>
          <t>VEDL</t>
        </is>
      </c>
      <c r="B25" s="45" t="inlineStr">
        <is>
          <t>NSE</t>
        </is>
      </c>
      <c r="C25" s="46" t="n"/>
      <c r="D25" s="50" t="n">
        <v>11</v>
      </c>
      <c r="E25" s="53" t="n">
        <v>230.35</v>
      </c>
      <c r="F25" s="49" t="n"/>
      <c r="G25" s="53" t="n">
        <v>332.5</v>
      </c>
      <c r="H25" s="50" t="n"/>
      <c r="I25" s="50" t="n"/>
      <c r="J25" s="51">
        <f>IFERROR(D25*E25,"")</f>
        <v/>
      </c>
      <c r="K25" s="51">
        <f>IFERROR(D25*G25,"")</f>
        <v/>
      </c>
      <c r="L25" s="51">
        <f>IFERROR(K25-J25,"")</f>
        <v/>
      </c>
      <c r="M25" s="52">
        <f>IFERROR((K25-J25)/J25,"")</f>
        <v/>
      </c>
      <c r="N25" s="52">
        <f>IFERROR(IF(F25="","",((G25/E25)^(365/MAX(1,TODAY()-F25))-1)),"")</f>
        <v/>
      </c>
      <c r="O25" s="52">
        <f>IFERROR(K25/SUM($K$4:$K$53),"")</f>
        <v/>
      </c>
      <c r="T25">
        <f>IF(ISBLANK(G25), "", IF(AND(ISNUMBER(S25), G25&lt;=S25), "🚨 SELL", IF(AND(ISNUMBER(R25), G25&gt;=R25), "🎯 BOOK PROFIT", "Hold")))</f>
        <v/>
      </c>
      <c r="U25">
        <f>IF(ISBLANK(F25), "", IF(TODAY()-F25&gt;365, "LTCG", "STCG"))</f>
        <v/>
      </c>
      <c r="V25">
        <f>IF(ISBLANK(L25), "", L25+IF(ISNUMBER(Q25), Q25, 0))</f>
        <v/>
      </c>
    </row>
    <row r="26" ht="16.5" customHeight="1" s="82">
      <c r="A26" s="46" t="inlineStr">
        <is>
          <t>VIVIDHA</t>
        </is>
      </c>
      <c r="B26" s="45" t="inlineStr">
        <is>
          <t>NSE</t>
        </is>
      </c>
      <c r="C26" s="37" t="n"/>
      <c r="D26" s="41" t="n">
        <v>1000</v>
      </c>
      <c r="E26" s="54" t="n">
        <v>1.56</v>
      </c>
      <c r="F26" s="40" t="n"/>
      <c r="G26" s="54" t="n">
        <v>0.58</v>
      </c>
      <c r="H26" s="41" t="n"/>
      <c r="I26" s="41" t="n"/>
      <c r="J26" s="42">
        <f>IFERROR(D26*E26,"")</f>
        <v/>
      </c>
      <c r="K26" s="42">
        <f>IFERROR(D26*G26,"")</f>
        <v/>
      </c>
      <c r="L26" s="42">
        <f>IFERROR(K26-J26,"")</f>
        <v/>
      </c>
      <c r="M26" s="43">
        <f>IFERROR((K26-J26)/J26,"")</f>
        <v/>
      </c>
      <c r="N26" s="43">
        <f>IFERROR(IF(F26="","",((G26/E26)^(365/MAX(1,TODAY()-F26))-1)),"")</f>
        <v/>
      </c>
      <c r="O26" s="43">
        <f>IFERROR(K26/SUM($K$4:$K$53),"")</f>
        <v/>
      </c>
      <c r="T26">
        <f>IF(ISBLANK(G26), "", IF(AND(ISNUMBER(S26), G26&lt;=S26), "🚨 SELL", IF(AND(ISNUMBER(R26), G26&gt;=R26), "🎯 BOOK PROFIT", "Hold")))</f>
        <v/>
      </c>
      <c r="U26">
        <f>IF(ISBLANK(F26), "", IF(TODAY()-F26&gt;365, "LTCG", "STCG"))</f>
        <v/>
      </c>
      <c r="V26">
        <f>IF(ISBLANK(L26), "", L26+IF(ISNUMBER(Q26), Q26, 0))</f>
        <v/>
      </c>
    </row>
    <row r="27" ht="16.5" customHeight="1" s="82">
      <c r="A27" s="37" t="n"/>
      <c r="B27" s="45" t="inlineStr">
        <is>
          <t>NSE/BSE</t>
        </is>
      </c>
      <c r="C27" s="46" t="n"/>
      <c r="D27" s="50" t="n"/>
      <c r="E27" s="53" t="n"/>
      <c r="F27" s="49" t="n"/>
      <c r="G27" s="53" t="n"/>
      <c r="H27" s="50" t="n"/>
      <c r="I27" s="50" t="n"/>
      <c r="J27" s="51">
        <f>IFERROR(D27*E27,"")</f>
        <v/>
      </c>
      <c r="K27" s="51">
        <f>IFERROR(D27*G27,"")</f>
        <v/>
      </c>
      <c r="L27" s="51">
        <f>IFERROR(K27-J27,"")</f>
        <v/>
      </c>
      <c r="M27" s="52">
        <f>IFERROR((K27-J27)/J27,"")</f>
        <v/>
      </c>
      <c r="N27" s="52">
        <f>IFERROR(IF(F27="","",((G27/E27)^(365/MAX(1,TODAY()-F27))-1)),"")</f>
        <v/>
      </c>
      <c r="O27" s="52">
        <f>IFERROR(K27/SUM($K$4:$K$53),"")</f>
        <v/>
      </c>
      <c r="T27">
        <f>IF(ISBLANK(G27), "", IF(AND(ISNUMBER(S27), G27&lt;=S27), "🚨 SELL", IF(AND(ISNUMBER(R27), G27&gt;=R27), "🎯 BOOK PROFIT", "Hold")))</f>
        <v/>
      </c>
      <c r="U27">
        <f>IF(ISBLANK(F27), "", IF(TODAY()-F27&gt;365, "LTCG", "STCG"))</f>
        <v/>
      </c>
      <c r="V27">
        <f>IF(ISBLANK(L27), "", L27+IF(ISNUMBER(Q27), Q27, 0))</f>
        <v/>
      </c>
    </row>
    <row r="28" ht="16.5" customHeight="1" s="82">
      <c r="A28" s="46" t="n"/>
      <c r="B28" s="45" t="inlineStr">
        <is>
          <t>NSE/BSE</t>
        </is>
      </c>
      <c r="C28" s="37" t="n"/>
      <c r="D28" s="41" t="n"/>
      <c r="E28" s="54" t="n"/>
      <c r="F28" s="40" t="n"/>
      <c r="G28" s="54" t="n"/>
      <c r="H28" s="41" t="n"/>
      <c r="I28" s="41" t="n"/>
      <c r="J28" s="42">
        <f>IFERROR(D28*E28,"")</f>
        <v/>
      </c>
      <c r="K28" s="42">
        <f>IFERROR(D28*G28,"")</f>
        <v/>
      </c>
      <c r="L28" s="42">
        <f>IFERROR(K28-J28,"")</f>
        <v/>
      </c>
      <c r="M28" s="43">
        <f>IFERROR((K28-J28)/J28,"")</f>
        <v/>
      </c>
      <c r="N28" s="43">
        <f>IFERROR(IF(F28="","",((G28/E28)^(365/MAX(1,TODAY()-F28))-1)),"")</f>
        <v/>
      </c>
      <c r="O28" s="43">
        <f>IFERROR(K28/SUM($K$4:$K$53),"")</f>
        <v/>
      </c>
      <c r="T28">
        <f>IF(ISBLANK(G28), "", IF(AND(ISNUMBER(S28), G28&lt;=S28), "🚨 SELL", IF(AND(ISNUMBER(R28), G28&gt;=R28), "🎯 BOOK PROFIT", "Hold")))</f>
        <v/>
      </c>
      <c r="U28">
        <f>IF(ISBLANK(F28), "", IF(TODAY()-F28&gt;365, "LTCG", "STCG"))</f>
        <v/>
      </c>
      <c r="V28">
        <f>IF(ISBLANK(L28), "", L28+IF(ISNUMBER(Q28), Q28, 0))</f>
        <v/>
      </c>
    </row>
    <row r="29" ht="16.5" customHeight="1" s="82">
      <c r="A29" s="37" t="n"/>
      <c r="B29" s="45" t="inlineStr">
        <is>
          <t>NSE/BSE</t>
        </is>
      </c>
      <c r="C29" s="46" t="n"/>
      <c r="D29" s="50" t="n"/>
      <c r="E29" s="53" t="n"/>
      <c r="F29" s="49" t="n"/>
      <c r="G29" s="53" t="n"/>
      <c r="H29" s="50" t="n"/>
      <c r="I29" s="50" t="n"/>
      <c r="J29" s="51">
        <f>IFERROR(D29*E29,"")</f>
        <v/>
      </c>
      <c r="K29" s="51">
        <f>IFERROR(D29*G29,"")</f>
        <v/>
      </c>
      <c r="L29" s="51">
        <f>IFERROR(K29-J29,"")</f>
        <v/>
      </c>
      <c r="M29" s="52">
        <f>IFERROR((K29-J29)/J29,"")</f>
        <v/>
      </c>
      <c r="N29" s="52">
        <f>IFERROR(IF(F29="","",((G29/E29)^(365/MAX(1,TODAY()-F29))-1)),"")</f>
        <v/>
      </c>
      <c r="O29" s="52">
        <f>IFERROR(K29/SUM($K$4:$K$53),"")</f>
        <v/>
      </c>
      <c r="T29">
        <f>IF(ISBLANK(G29), "", IF(AND(ISNUMBER(S29), G29&lt;=S29), "🚨 SELL", IF(AND(ISNUMBER(R29), G29&gt;=R29), "🎯 BOOK PROFIT", "Hold")))</f>
        <v/>
      </c>
      <c r="U29">
        <f>IF(ISBLANK(F29), "", IF(TODAY()-F29&gt;365, "LTCG", "STCG"))</f>
        <v/>
      </c>
      <c r="V29">
        <f>IF(ISBLANK(L29), "", L29+IF(ISNUMBER(Q29), Q29, 0))</f>
        <v/>
      </c>
    </row>
    <row r="30" ht="16.5" customHeight="1" s="82">
      <c r="A30" s="46" t="n"/>
      <c r="B30" s="45" t="inlineStr">
        <is>
          <t>NSE/BSE</t>
        </is>
      </c>
      <c r="C30" s="37" t="n"/>
      <c r="D30" s="41" t="n"/>
      <c r="E30" s="54" t="n"/>
      <c r="F30" s="40" t="n"/>
      <c r="G30" s="54" t="n"/>
      <c r="H30" s="41" t="n"/>
      <c r="I30" s="41" t="n"/>
      <c r="J30" s="42">
        <f>IFERROR(D30*E30,"")</f>
        <v/>
      </c>
      <c r="K30" s="42">
        <f>IFERROR(D30*G30,"")</f>
        <v/>
      </c>
      <c r="L30" s="42">
        <f>IFERROR(K30-J30,"")</f>
        <v/>
      </c>
      <c r="M30" s="43">
        <f>IFERROR((K30-J30)/J30,"")</f>
        <v/>
      </c>
      <c r="N30" s="43">
        <f>IFERROR(IF(F30="","",((G30/E30)^(365/MAX(1,TODAY()-F30))-1)),"")</f>
        <v/>
      </c>
      <c r="O30" s="43">
        <f>IFERROR(K30/SUM($K$4:$K$53),"")</f>
        <v/>
      </c>
      <c r="T30">
        <f>IF(ISBLANK(G30), "", IF(AND(ISNUMBER(S30), G30&lt;=S30), "🚨 SELL", IF(AND(ISNUMBER(R30), G30&gt;=R30), "🎯 BOOK PROFIT", "Hold")))</f>
        <v/>
      </c>
      <c r="U30">
        <f>IF(ISBLANK(F30), "", IF(TODAY()-F30&gt;365, "LTCG", "STCG"))</f>
        <v/>
      </c>
      <c r="V30">
        <f>IF(ISBLANK(L30), "", L30+IF(ISNUMBER(Q30), Q30, 0))</f>
        <v/>
      </c>
    </row>
    <row r="31" ht="16.5" customHeight="1" s="82">
      <c r="A31" s="37" t="n"/>
      <c r="B31" s="45" t="inlineStr">
        <is>
          <t>NSE/BSE</t>
        </is>
      </c>
      <c r="C31" s="46" t="n"/>
      <c r="D31" s="50" t="n"/>
      <c r="E31" s="53" t="n"/>
      <c r="F31" s="49" t="n"/>
      <c r="G31" s="53" t="n"/>
      <c r="H31" s="50" t="n"/>
      <c r="I31" s="50" t="n"/>
      <c r="J31" s="51">
        <f>IFERROR(D31*E31,"")</f>
        <v/>
      </c>
      <c r="K31" s="51">
        <f>IFERROR(D31*G31,"")</f>
        <v/>
      </c>
      <c r="L31" s="51">
        <f>IFERROR(K31-J31,"")</f>
        <v/>
      </c>
      <c r="M31" s="52">
        <f>IFERROR((K31-J31)/J31,"")</f>
        <v/>
      </c>
      <c r="N31" s="52">
        <f>IFERROR(IF(F31="","",((G31/E31)^(365/MAX(1,TODAY()-F31))-1)),"")</f>
        <v/>
      </c>
      <c r="O31" s="52">
        <f>IFERROR(K31/SUM($K$4:$K$53),"")</f>
        <v/>
      </c>
      <c r="T31">
        <f>IF(ISBLANK(G31), "", IF(AND(ISNUMBER(S31), G31&lt;=S31), "🚨 SELL", IF(AND(ISNUMBER(R31), G31&gt;=R31), "🎯 BOOK PROFIT", "Hold")))</f>
        <v/>
      </c>
      <c r="U31">
        <f>IF(ISBLANK(F31), "", IF(TODAY()-F31&gt;365, "LTCG", "STCG"))</f>
        <v/>
      </c>
      <c r="V31">
        <f>IF(ISBLANK(L31), "", L31+IF(ISNUMBER(Q31), Q31, 0))</f>
        <v/>
      </c>
    </row>
    <row r="32" ht="16.5" customHeight="1" s="82">
      <c r="A32" s="37" t="n"/>
      <c r="B32" s="45" t="inlineStr">
        <is>
          <t>NSE/BSE</t>
        </is>
      </c>
      <c r="C32" s="37" t="n"/>
      <c r="D32" s="41" t="n"/>
      <c r="E32" s="54" t="n"/>
      <c r="F32" s="40" t="n"/>
      <c r="G32" s="54" t="n"/>
      <c r="H32" s="41" t="n"/>
      <c r="I32" s="41" t="n"/>
      <c r="J32" s="42">
        <f>IFERROR(D32*E32,"")</f>
        <v/>
      </c>
      <c r="K32" s="42">
        <f>IFERROR(D32*G32,"")</f>
        <v/>
      </c>
      <c r="L32" s="42">
        <f>IFERROR(K32-J32,"")</f>
        <v/>
      </c>
      <c r="M32" s="43">
        <f>IFERROR((K32-J32)/J32,"")</f>
        <v/>
      </c>
      <c r="N32" s="43">
        <f>IFERROR(IF(F32="","",((G32/E32)^(365/MAX(1,TODAY()-F32))-1)),"")</f>
        <v/>
      </c>
      <c r="O32" s="43">
        <f>IFERROR(K32/SUM($K$4:$K$53),"")</f>
        <v/>
      </c>
      <c r="T32">
        <f>IF(ISBLANK(G32), "", IF(AND(ISNUMBER(S32), G32&lt;=S32), "🚨 SELL", IF(AND(ISNUMBER(R32), G32&gt;=R32), "🎯 BOOK PROFIT", "Hold")))</f>
        <v/>
      </c>
      <c r="U32">
        <f>IF(ISBLANK(F32), "", IF(TODAY()-F32&gt;365, "LTCG", "STCG"))</f>
        <v/>
      </c>
      <c r="V32">
        <f>IF(ISBLANK(L32), "", L32+IF(ISNUMBER(Q32), Q32, 0))</f>
        <v/>
      </c>
    </row>
    <row r="33" ht="16.5" customHeight="1" s="82">
      <c r="A33" s="46" t="n"/>
      <c r="B33" s="45" t="inlineStr">
        <is>
          <t>NSE/BSE</t>
        </is>
      </c>
      <c r="C33" s="46" t="n"/>
      <c r="D33" s="50" t="n"/>
      <c r="E33" s="53" t="n"/>
      <c r="F33" s="49" t="n"/>
      <c r="G33" s="53" t="n"/>
      <c r="H33" s="50" t="n"/>
      <c r="I33" s="50" t="n"/>
      <c r="J33" s="51">
        <f>IFERROR(D33*E33,"")</f>
        <v/>
      </c>
      <c r="K33" s="51">
        <f>IFERROR(D33*G33,"")</f>
        <v/>
      </c>
      <c r="L33" s="51">
        <f>IFERROR(K33-J33,"")</f>
        <v/>
      </c>
      <c r="M33" s="52">
        <f>IFERROR((K33-J33)/J33,"")</f>
        <v/>
      </c>
      <c r="N33" s="52">
        <f>IFERROR(IF(F33="","",((G33/E33)^(365/MAX(1,TODAY()-F33))-1)),"")</f>
        <v/>
      </c>
      <c r="O33" s="52">
        <f>IFERROR(K33/SUM($K$4:$K$53),"")</f>
        <v/>
      </c>
      <c r="T33">
        <f>IF(ISBLANK(G33), "", IF(AND(ISNUMBER(S33), G33&lt;=S33), "🚨 SELL", IF(AND(ISNUMBER(R33), G33&gt;=R33), "🎯 BOOK PROFIT", "Hold")))</f>
        <v/>
      </c>
      <c r="U33">
        <f>IF(ISBLANK(F33), "", IF(TODAY()-F33&gt;365, "LTCG", "STCG"))</f>
        <v/>
      </c>
      <c r="V33">
        <f>IF(ISBLANK(L33), "", L33+IF(ISNUMBER(Q33), Q33, 0))</f>
        <v/>
      </c>
    </row>
    <row r="34" ht="16.5" customHeight="1" s="82">
      <c r="A34" s="37" t="n"/>
      <c r="B34" s="45" t="inlineStr">
        <is>
          <t>NSE/BSE</t>
        </is>
      </c>
      <c r="C34" s="37" t="n"/>
      <c r="D34" s="41" t="n"/>
      <c r="E34" s="54" t="n"/>
      <c r="F34" s="40" t="n"/>
      <c r="G34" s="54" t="n"/>
      <c r="H34" s="41" t="n"/>
      <c r="I34" s="41" t="n"/>
      <c r="J34" s="42">
        <f>IFERROR(D34*E34,"")</f>
        <v/>
      </c>
      <c r="K34" s="42">
        <f>IFERROR(D34*G34,"")</f>
        <v/>
      </c>
      <c r="L34" s="42">
        <f>IFERROR(K34-J34,"")</f>
        <v/>
      </c>
      <c r="M34" s="43">
        <f>IFERROR((K34-J34)/J34,"")</f>
        <v/>
      </c>
      <c r="N34" s="43">
        <f>IFERROR(IF(F34="","",((G34/E34)^(365/MAX(1,TODAY()-F34))-1)),"")</f>
        <v/>
      </c>
      <c r="O34" s="43">
        <f>IFERROR(K34/SUM($K$4:$K$53),"")</f>
        <v/>
      </c>
      <c r="T34">
        <f>IF(ISBLANK(G34), "", IF(AND(ISNUMBER(S34), G34&lt;=S34), "🚨 SELL", IF(AND(ISNUMBER(R34), G34&gt;=R34), "🎯 BOOK PROFIT", "Hold")))</f>
        <v/>
      </c>
      <c r="U34">
        <f>IF(ISBLANK(F34), "", IF(TODAY()-F34&gt;365, "LTCG", "STCG"))</f>
        <v/>
      </c>
      <c r="V34">
        <f>IF(ISBLANK(L34), "", L34+IF(ISNUMBER(Q34), Q34, 0))</f>
        <v/>
      </c>
    </row>
    <row r="35" ht="16.5" customHeight="1" s="82">
      <c r="A35" s="46" t="n"/>
      <c r="B35" s="45" t="inlineStr">
        <is>
          <t>NSE/BSE</t>
        </is>
      </c>
      <c r="C35" s="46" t="n"/>
      <c r="D35" s="50" t="n"/>
      <c r="E35" s="53" t="n"/>
      <c r="F35" s="49" t="n"/>
      <c r="G35" s="53" t="n"/>
      <c r="H35" s="50" t="n"/>
      <c r="I35" s="50" t="n"/>
      <c r="J35" s="51">
        <f>IFERROR(D35*E35,"")</f>
        <v/>
      </c>
      <c r="K35" s="51">
        <f>IFERROR(D35*G35,"")</f>
        <v/>
      </c>
      <c r="L35" s="51">
        <f>IFERROR(K35-J35,"")</f>
        <v/>
      </c>
      <c r="M35" s="52">
        <f>IFERROR((K35-J35)/J35,"")</f>
        <v/>
      </c>
      <c r="N35" s="52">
        <f>IFERROR(IF(F35="","",((G35/E35)^(365/MAX(1,TODAY()-F35))-1)),"")</f>
        <v/>
      </c>
      <c r="O35" s="52">
        <f>IFERROR(K35/SUM($K$4:$K$53),"")</f>
        <v/>
      </c>
      <c r="T35">
        <f>IF(ISBLANK(G35), "", IF(AND(ISNUMBER(S35), G35&lt;=S35), "🚨 SELL", IF(AND(ISNUMBER(R35), G35&gt;=R35), "🎯 BOOK PROFIT", "Hold")))</f>
        <v/>
      </c>
      <c r="U35">
        <f>IF(ISBLANK(F35), "", IF(TODAY()-F35&gt;365, "LTCG", "STCG"))</f>
        <v/>
      </c>
      <c r="V35">
        <f>IF(ISBLANK(L35), "", L35+IF(ISNUMBER(Q35), Q35, 0))</f>
        <v/>
      </c>
    </row>
    <row r="36" ht="16.5" customHeight="1" s="82">
      <c r="A36" s="37" t="n"/>
      <c r="B36" s="45" t="inlineStr">
        <is>
          <t>NSE/BSE</t>
        </is>
      </c>
      <c r="C36" s="37" t="n"/>
      <c r="D36" s="41" t="n"/>
      <c r="E36" s="54" t="n"/>
      <c r="F36" s="40" t="n"/>
      <c r="G36" s="54" t="n"/>
      <c r="H36" s="41" t="n"/>
      <c r="I36" s="41" t="n"/>
      <c r="J36" s="42">
        <f>IFERROR(D36*E36,"")</f>
        <v/>
      </c>
      <c r="K36" s="42">
        <f>IFERROR(D36*G36,"")</f>
        <v/>
      </c>
      <c r="L36" s="42">
        <f>IFERROR(K36-J36,"")</f>
        <v/>
      </c>
      <c r="M36" s="43">
        <f>IFERROR((K36-J36)/J36,"")</f>
        <v/>
      </c>
      <c r="N36" s="43">
        <f>IFERROR(IF(F36="","",((G36/E36)^(365/MAX(1,TODAY()-F36))-1)),"")</f>
        <v/>
      </c>
      <c r="O36" s="43">
        <f>IFERROR(K36/SUM($K$4:$K$53),"")</f>
        <v/>
      </c>
      <c r="T36">
        <f>IF(ISBLANK(G36), "", IF(AND(ISNUMBER(S36), G36&lt;=S36), "🚨 SELL", IF(AND(ISNUMBER(R36), G36&gt;=R36), "🎯 BOOK PROFIT", "Hold")))</f>
        <v/>
      </c>
      <c r="U36">
        <f>IF(ISBLANK(F36), "", IF(TODAY()-F36&gt;365, "LTCG", "STCG"))</f>
        <v/>
      </c>
      <c r="V36">
        <f>IF(ISBLANK(L36), "", L36+IF(ISNUMBER(Q36), Q36, 0))</f>
        <v/>
      </c>
    </row>
    <row r="37" ht="16.5" customHeight="1" s="82">
      <c r="A37" s="46" t="n"/>
      <c r="B37" s="45" t="inlineStr">
        <is>
          <t>NSE/BSE</t>
        </is>
      </c>
      <c r="C37" s="46" t="n"/>
      <c r="D37" s="50" t="n"/>
      <c r="E37" s="53" t="n"/>
      <c r="F37" s="49" t="n"/>
      <c r="G37" s="53" t="n"/>
      <c r="H37" s="50" t="n"/>
      <c r="I37" s="50" t="n"/>
      <c r="J37" s="51">
        <f>IFERROR(D37*E37,"")</f>
        <v/>
      </c>
      <c r="K37" s="51">
        <f>IFERROR(D37*G37,"")</f>
        <v/>
      </c>
      <c r="L37" s="51">
        <f>IFERROR(K37-J37,"")</f>
        <v/>
      </c>
      <c r="M37" s="52">
        <f>IFERROR((K37-J37)/J37,"")</f>
        <v/>
      </c>
      <c r="N37" s="52">
        <f>IFERROR(IF(F37="","",((G37/E37)^(365/MAX(1,TODAY()-F37))-1)),"")</f>
        <v/>
      </c>
      <c r="O37" s="52">
        <f>IFERROR(K37/SUM($K$4:$K$53),"")</f>
        <v/>
      </c>
      <c r="T37">
        <f>IF(ISBLANK(G37), "", IF(AND(ISNUMBER(S37), G37&lt;=S37), "🚨 SELL", IF(AND(ISNUMBER(R37), G37&gt;=R37), "🎯 BOOK PROFIT", "Hold")))</f>
        <v/>
      </c>
      <c r="U37">
        <f>IF(ISBLANK(F37), "", IF(TODAY()-F37&gt;365, "LTCG", "STCG"))</f>
        <v/>
      </c>
      <c r="V37">
        <f>IF(ISBLANK(L37), "", L37+IF(ISNUMBER(Q37), Q37, 0))</f>
        <v/>
      </c>
    </row>
    <row r="38" ht="16.5" customHeight="1" s="82">
      <c r="A38" s="37" t="n"/>
      <c r="B38" s="45" t="inlineStr">
        <is>
          <t>NSE/BSE</t>
        </is>
      </c>
      <c r="C38" s="37" t="n"/>
      <c r="D38" s="41" t="n"/>
      <c r="E38" s="54" t="n"/>
      <c r="F38" s="40" t="n"/>
      <c r="G38" s="54" t="n"/>
      <c r="H38" s="41" t="n"/>
      <c r="I38" s="41" t="n"/>
      <c r="J38" s="42">
        <f>IFERROR(D38*E38,"")</f>
        <v/>
      </c>
      <c r="K38" s="42">
        <f>IFERROR(D38*G38,"")</f>
        <v/>
      </c>
      <c r="L38" s="42">
        <f>IFERROR(K38-J38,"")</f>
        <v/>
      </c>
      <c r="M38" s="43">
        <f>IFERROR((K38-J38)/J38,"")</f>
        <v/>
      </c>
      <c r="N38" s="43">
        <f>IFERROR(IF(F38="","",((G38/E38)^(365/MAX(1,TODAY()-F38))-1)),"")</f>
        <v/>
      </c>
      <c r="O38" s="43">
        <f>IFERROR(K38/SUM($K$4:$K$53),"")</f>
        <v/>
      </c>
      <c r="T38">
        <f>IF(ISBLANK(G38), "", IF(AND(ISNUMBER(S38), G38&lt;=S38), "🚨 SELL", IF(AND(ISNUMBER(R38), G38&gt;=R38), "🎯 BOOK PROFIT", "Hold")))</f>
        <v/>
      </c>
      <c r="U38">
        <f>IF(ISBLANK(F38), "", IF(TODAY()-F38&gt;365, "LTCG", "STCG"))</f>
        <v/>
      </c>
      <c r="V38">
        <f>IF(ISBLANK(L38), "", L38+IF(ISNUMBER(Q38), Q38, 0))</f>
        <v/>
      </c>
    </row>
    <row r="39" ht="16.5" customHeight="1" s="82">
      <c r="A39" s="46" t="n"/>
      <c r="B39" s="45" t="inlineStr">
        <is>
          <t>NSE/BSE</t>
        </is>
      </c>
      <c r="C39" s="46" t="n"/>
      <c r="D39" s="50" t="n"/>
      <c r="E39" s="53" t="n"/>
      <c r="F39" s="49" t="n"/>
      <c r="G39" s="53" t="n"/>
      <c r="H39" s="50" t="n"/>
      <c r="I39" s="50" t="n"/>
      <c r="J39" s="51">
        <f>IFERROR(D39*E39,"")</f>
        <v/>
      </c>
      <c r="K39" s="51">
        <f>IFERROR(D39*G39,"")</f>
        <v/>
      </c>
      <c r="L39" s="51">
        <f>IFERROR(K39-J39,"")</f>
        <v/>
      </c>
      <c r="M39" s="52">
        <f>IFERROR((K39-J39)/J39,"")</f>
        <v/>
      </c>
      <c r="N39" s="52">
        <f>IFERROR(IF(F39="","",((G39/E39)^(365/MAX(1,TODAY()-F39))-1)),"")</f>
        <v/>
      </c>
      <c r="O39" s="52">
        <f>IFERROR(K39/SUM($K$4:$K$53),"")</f>
        <v/>
      </c>
      <c r="T39">
        <f>IF(ISBLANK(G39), "", IF(AND(ISNUMBER(S39), G39&lt;=S39), "🚨 SELL", IF(AND(ISNUMBER(R39), G39&gt;=R39), "🎯 BOOK PROFIT", "Hold")))</f>
        <v/>
      </c>
      <c r="U39">
        <f>IF(ISBLANK(F39), "", IF(TODAY()-F39&gt;365, "LTCG", "STCG"))</f>
        <v/>
      </c>
      <c r="V39">
        <f>IF(ISBLANK(L39), "", L39+IF(ISNUMBER(Q39), Q39, 0))</f>
        <v/>
      </c>
    </row>
    <row r="40" ht="16.5" customHeight="1" s="82">
      <c r="A40" s="55" t="n"/>
      <c r="B40" s="41" t="n"/>
      <c r="C40" s="37" t="n"/>
      <c r="D40" s="41" t="n"/>
      <c r="E40" s="54" t="n"/>
      <c r="F40" s="40" t="n"/>
      <c r="G40" s="54" t="n"/>
      <c r="H40" s="41" t="n"/>
      <c r="I40" s="41" t="n"/>
      <c r="J40" s="42">
        <f>IFERROR(D40*E40,"")</f>
        <v/>
      </c>
      <c r="K40" s="42">
        <f>IFERROR(D40*G40,"")</f>
        <v/>
      </c>
      <c r="L40" s="42">
        <f>IFERROR(K40-J40,"")</f>
        <v/>
      </c>
      <c r="M40" s="43">
        <f>IFERROR((K40-J40)/J40,"")</f>
        <v/>
      </c>
      <c r="N40" s="43">
        <f>IFERROR(IF(F40="","",((G40/E40)^(365/MAX(1,TODAY()-F40))-1)),"")</f>
        <v/>
      </c>
      <c r="O40" s="43">
        <f>IFERROR(K40/SUM($K$4:$K$53),"")</f>
        <v/>
      </c>
      <c r="T40">
        <f>IF(ISBLANK(G40), "", IF(AND(ISNUMBER(S40), G40&lt;=S40), "🚨 SELL", IF(AND(ISNUMBER(R40), G40&gt;=R40), "🎯 BOOK PROFIT", "Hold")))</f>
        <v/>
      </c>
      <c r="U40">
        <f>IF(ISBLANK(F40), "", IF(TODAY()-F40&gt;365, "LTCG", "STCG"))</f>
        <v/>
      </c>
      <c r="V40">
        <f>IF(ISBLANK(L40), "", L40+IF(ISNUMBER(Q40), Q40, 0))</f>
        <v/>
      </c>
    </row>
    <row r="41" ht="16.5" customHeight="1" s="82">
      <c r="A41" s="46" t="n"/>
      <c r="B41" s="50" t="n"/>
      <c r="C41" s="46" t="n"/>
      <c r="D41" s="50" t="n"/>
      <c r="E41" s="53" t="n"/>
      <c r="F41" s="49" t="n"/>
      <c r="G41" s="53" t="n"/>
      <c r="H41" s="50" t="n"/>
      <c r="I41" s="50" t="n"/>
      <c r="J41" s="51">
        <f>IFERROR(D41*E41,"")</f>
        <v/>
      </c>
      <c r="K41" s="51">
        <f>IFERROR(D41*G41,"")</f>
        <v/>
      </c>
      <c r="L41" s="51">
        <f>IFERROR(K41-J41,"")</f>
        <v/>
      </c>
      <c r="M41" s="52">
        <f>IFERROR((K41-J41)/J41,"")</f>
        <v/>
      </c>
      <c r="N41" s="52">
        <f>IFERROR(IF(F41="","",((G41/E41)^(365/MAX(1,TODAY()-F41))-1)),"")</f>
        <v/>
      </c>
      <c r="O41" s="52">
        <f>IFERROR(K41/SUM($K$4:$K$53),"")</f>
        <v/>
      </c>
      <c r="T41">
        <f>IF(ISBLANK(G41), "", IF(AND(ISNUMBER(S41), G41&lt;=S41), "🚨 SELL", IF(AND(ISNUMBER(R41), G41&gt;=R41), "🎯 BOOK PROFIT", "Hold")))</f>
        <v/>
      </c>
      <c r="U41">
        <f>IF(ISBLANK(F41), "", IF(TODAY()-F41&gt;365, "LTCG", "STCG"))</f>
        <v/>
      </c>
      <c r="V41">
        <f>IF(ISBLANK(L41), "", L41+IF(ISNUMBER(Q41), Q41, 0))</f>
        <v/>
      </c>
    </row>
    <row r="42" ht="16.5" customHeight="1" s="82">
      <c r="A42" s="37" t="n"/>
      <c r="B42" s="41" t="n"/>
      <c r="C42" s="37" t="n"/>
      <c r="D42" s="41" t="n"/>
      <c r="E42" s="54" t="n"/>
      <c r="F42" s="40" t="n"/>
      <c r="G42" s="54" t="n"/>
      <c r="H42" s="41" t="n"/>
      <c r="I42" s="41" t="n"/>
      <c r="J42" s="42">
        <f>IFERROR(D42*E42,"")</f>
        <v/>
      </c>
      <c r="K42" s="42">
        <f>IFERROR(D42*G42,"")</f>
        <v/>
      </c>
      <c r="L42" s="42">
        <f>IFERROR(K42-J42,"")</f>
        <v/>
      </c>
      <c r="M42" s="43">
        <f>IFERROR((K42-J42)/J42,"")</f>
        <v/>
      </c>
      <c r="N42" s="43">
        <f>IFERROR(IF(F42="","",((G42/E42)^(365/MAX(1,TODAY()-F42))-1)),"")</f>
        <v/>
      </c>
      <c r="O42" s="43">
        <f>IFERROR(K42/SUM($K$4:$K$53),"")</f>
        <v/>
      </c>
      <c r="T42">
        <f>IF(ISBLANK(G42), "", IF(AND(ISNUMBER(S42), G42&lt;=S42), "🚨 SELL", IF(AND(ISNUMBER(R42), G42&gt;=R42), "🎯 BOOK PROFIT", "Hold")))</f>
        <v/>
      </c>
      <c r="U42">
        <f>IF(ISBLANK(F42), "", IF(TODAY()-F42&gt;365, "LTCG", "STCG"))</f>
        <v/>
      </c>
      <c r="V42">
        <f>IF(ISBLANK(L42), "", L42+IF(ISNUMBER(Q42), Q42, 0))</f>
        <v/>
      </c>
    </row>
    <row r="43" ht="16.5" customHeight="1" s="82">
      <c r="A43" s="46" t="n"/>
      <c r="B43" s="50" t="n"/>
      <c r="C43" s="46" t="n"/>
      <c r="D43" s="50" t="n"/>
      <c r="E43" s="53" t="n"/>
      <c r="F43" s="49" t="n"/>
      <c r="G43" s="53" t="n"/>
      <c r="H43" s="50" t="n"/>
      <c r="I43" s="50" t="n"/>
      <c r="J43" s="51">
        <f>IFERROR(D43*E43,"")</f>
        <v/>
      </c>
      <c r="K43" s="51">
        <f>IFERROR(D43*G43,"")</f>
        <v/>
      </c>
      <c r="L43" s="51">
        <f>IFERROR(K43-J43,"")</f>
        <v/>
      </c>
      <c r="M43" s="52">
        <f>IFERROR((K43-J43)/J43,"")</f>
        <v/>
      </c>
      <c r="N43" s="52">
        <f>IFERROR(IF(F43="","",((G43/E43)^(365/MAX(1,TODAY()-F43))-1)),"")</f>
        <v/>
      </c>
      <c r="O43" s="52">
        <f>IFERROR(K43/SUM($K$4:$K$53),"")</f>
        <v/>
      </c>
      <c r="T43">
        <f>IF(ISBLANK(G43), "", IF(AND(ISNUMBER(S43), G43&lt;=S43), "🚨 SELL", IF(AND(ISNUMBER(R43), G43&gt;=R43), "🎯 BOOK PROFIT", "Hold")))</f>
        <v/>
      </c>
      <c r="U43">
        <f>IF(ISBLANK(F43), "", IF(TODAY()-F43&gt;365, "LTCG", "STCG"))</f>
        <v/>
      </c>
      <c r="V43">
        <f>IF(ISBLANK(L43), "", L43+IF(ISNUMBER(Q43), Q43, 0))</f>
        <v/>
      </c>
    </row>
    <row r="44" ht="16.5" customHeight="1" s="82">
      <c r="A44" s="37" t="n"/>
      <c r="B44" s="41" t="n"/>
      <c r="C44" s="37" t="n"/>
      <c r="D44" s="41" t="n"/>
      <c r="E44" s="54" t="n"/>
      <c r="F44" s="40" t="n"/>
      <c r="G44" s="54" t="n"/>
      <c r="H44" s="41" t="n"/>
      <c r="I44" s="41" t="n"/>
      <c r="J44" s="42">
        <f>IFERROR(D44*E44,"")</f>
        <v/>
      </c>
      <c r="K44" s="42">
        <f>IFERROR(D44*G44,"")</f>
        <v/>
      </c>
      <c r="L44" s="42">
        <f>IFERROR(K44-J44,"")</f>
        <v/>
      </c>
      <c r="M44" s="43">
        <f>IFERROR((K44-J44)/J44,"")</f>
        <v/>
      </c>
      <c r="N44" s="43">
        <f>IFERROR(IF(F44="","",((G44/E44)^(365/MAX(1,TODAY()-F44))-1)),"")</f>
        <v/>
      </c>
      <c r="O44" s="43">
        <f>IFERROR(K44/SUM($K$4:$K$53),"")</f>
        <v/>
      </c>
      <c r="T44">
        <f>IF(ISBLANK(G44), "", IF(AND(ISNUMBER(S44), G44&lt;=S44), "🚨 SELL", IF(AND(ISNUMBER(R44), G44&gt;=R44), "🎯 BOOK PROFIT", "Hold")))</f>
        <v/>
      </c>
      <c r="U44">
        <f>IF(ISBLANK(F44), "", IF(TODAY()-F44&gt;365, "LTCG", "STCG"))</f>
        <v/>
      </c>
      <c r="V44">
        <f>IF(ISBLANK(L44), "", L44+IF(ISNUMBER(Q44), Q44, 0))</f>
        <v/>
      </c>
    </row>
    <row r="45" ht="16.5" customHeight="1" s="82">
      <c r="A45" s="46" t="n"/>
      <c r="B45" s="50" t="n"/>
      <c r="C45" s="46" t="n"/>
      <c r="D45" s="50" t="n"/>
      <c r="E45" s="53" t="n"/>
      <c r="F45" s="49" t="n"/>
      <c r="G45" s="53" t="n"/>
      <c r="H45" s="50" t="n"/>
      <c r="I45" s="50" t="n"/>
      <c r="J45" s="51">
        <f>IFERROR(D45*E45,"")</f>
        <v/>
      </c>
      <c r="K45" s="51">
        <f>IFERROR(D45*G45,"")</f>
        <v/>
      </c>
      <c r="L45" s="51">
        <f>IFERROR(K45-J45,"")</f>
        <v/>
      </c>
      <c r="M45" s="52">
        <f>IFERROR((K45-J45)/J45,"")</f>
        <v/>
      </c>
      <c r="N45" s="52">
        <f>IFERROR(IF(F45="","",((G45/E45)^(365/MAX(1,TODAY()-F45))-1)),"")</f>
        <v/>
      </c>
      <c r="O45" s="52">
        <f>IFERROR(K45/SUM($K$4:$K$53),"")</f>
        <v/>
      </c>
      <c r="T45">
        <f>IF(ISBLANK(G45), "", IF(AND(ISNUMBER(S45), G45&lt;=S45), "🚨 SELL", IF(AND(ISNUMBER(R45), G45&gt;=R45), "🎯 BOOK PROFIT", "Hold")))</f>
        <v/>
      </c>
      <c r="U45">
        <f>IF(ISBLANK(F45), "", IF(TODAY()-F45&gt;365, "LTCG", "STCG"))</f>
        <v/>
      </c>
      <c r="V45">
        <f>IF(ISBLANK(L45), "", L45+IF(ISNUMBER(Q45), Q45, 0))</f>
        <v/>
      </c>
    </row>
    <row r="46" ht="16.5" customHeight="1" s="82">
      <c r="A46" s="37" t="n"/>
      <c r="B46" s="41" t="n"/>
      <c r="C46" s="37" t="n"/>
      <c r="D46" s="41" t="n"/>
      <c r="E46" s="54" t="n"/>
      <c r="F46" s="40" t="n"/>
      <c r="G46" s="54" t="n"/>
      <c r="H46" s="41" t="n"/>
      <c r="I46" s="41" t="n"/>
      <c r="J46" s="42">
        <f>IFERROR(D46*E46,"")</f>
        <v/>
      </c>
      <c r="K46" s="42">
        <f>IFERROR(D46*G46,"")</f>
        <v/>
      </c>
      <c r="L46" s="42">
        <f>IFERROR(K46-J46,"")</f>
        <v/>
      </c>
      <c r="M46" s="43">
        <f>IFERROR((K46-J46)/J46,"")</f>
        <v/>
      </c>
      <c r="N46" s="43">
        <f>IFERROR(IF(F46="","",((G46/E46)^(365/MAX(1,TODAY()-F46))-1)),"")</f>
        <v/>
      </c>
      <c r="O46" s="43">
        <f>IFERROR(K46/SUM($K$4:$K$53),"")</f>
        <v/>
      </c>
      <c r="T46">
        <f>IF(ISBLANK(G46), "", IF(AND(ISNUMBER(S46), G46&lt;=S46), "🚨 SELL", IF(AND(ISNUMBER(R46), G46&gt;=R46), "🎯 BOOK PROFIT", "Hold")))</f>
        <v/>
      </c>
      <c r="U46">
        <f>IF(ISBLANK(F46), "", IF(TODAY()-F46&gt;365, "LTCG", "STCG"))</f>
        <v/>
      </c>
      <c r="V46">
        <f>IF(ISBLANK(L46), "", L46+IF(ISNUMBER(Q46), Q46, 0))</f>
        <v/>
      </c>
    </row>
    <row r="47" ht="16.5" customHeight="1" s="82">
      <c r="A47" s="46" t="n"/>
      <c r="B47" s="50" t="n"/>
      <c r="C47" s="46" t="n"/>
      <c r="D47" s="50" t="n"/>
      <c r="E47" s="53" t="n"/>
      <c r="F47" s="49" t="n"/>
      <c r="G47" s="53" t="n"/>
      <c r="H47" s="50" t="n"/>
      <c r="I47" s="50" t="n"/>
      <c r="J47" s="51">
        <f>IFERROR(D47*E47,"")</f>
        <v/>
      </c>
      <c r="K47" s="51">
        <f>IFERROR(D47*G47,"")</f>
        <v/>
      </c>
      <c r="L47" s="51">
        <f>IFERROR(K47-J47,"")</f>
        <v/>
      </c>
      <c r="M47" s="52">
        <f>IFERROR((K47-J47)/J47,"")</f>
        <v/>
      </c>
      <c r="N47" s="52">
        <f>IFERROR(IF(F47="","",((G47/E47)^(365/MAX(1,TODAY()-F47))-1)),"")</f>
        <v/>
      </c>
      <c r="O47" s="52">
        <f>IFERROR(K47/SUM($K$4:$K$53),"")</f>
        <v/>
      </c>
      <c r="T47">
        <f>IF(ISBLANK(G47), "", IF(AND(ISNUMBER(S47), G47&lt;=S47), "🚨 SELL", IF(AND(ISNUMBER(R47), G47&gt;=R47), "🎯 BOOK PROFIT", "Hold")))</f>
        <v/>
      </c>
      <c r="U47">
        <f>IF(ISBLANK(F47), "", IF(TODAY()-F47&gt;365, "LTCG", "STCG"))</f>
        <v/>
      </c>
      <c r="V47">
        <f>IF(ISBLANK(L47), "", L47+IF(ISNUMBER(Q47), Q47, 0))</f>
        <v/>
      </c>
    </row>
    <row r="48" ht="16.5" customHeight="1" s="82">
      <c r="A48" s="37" t="n"/>
      <c r="B48" s="41" t="n"/>
      <c r="C48" s="37" t="n"/>
      <c r="D48" s="41" t="n"/>
      <c r="E48" s="54" t="n"/>
      <c r="F48" s="40" t="n"/>
      <c r="G48" s="54" t="n"/>
      <c r="H48" s="41" t="n"/>
      <c r="I48" s="41" t="n"/>
      <c r="J48" s="42">
        <f>IFERROR(D48*E48,"")</f>
        <v/>
      </c>
      <c r="K48" s="42">
        <f>IFERROR(D48*G48,"")</f>
        <v/>
      </c>
      <c r="L48" s="42">
        <f>IFERROR(K48-J48,"")</f>
        <v/>
      </c>
      <c r="M48" s="43">
        <f>IFERROR((K48-J48)/J48,"")</f>
        <v/>
      </c>
      <c r="N48" s="43">
        <f>IFERROR(IF(F48="","",((G48/E48)^(365/MAX(1,TODAY()-F48))-1)),"")</f>
        <v/>
      </c>
      <c r="O48" s="43">
        <f>IFERROR(K48/SUM($K$4:$K$53),"")</f>
        <v/>
      </c>
      <c r="T48">
        <f>IF(ISBLANK(G48), "", IF(AND(ISNUMBER(S48), G48&lt;=S48), "🚨 SELL", IF(AND(ISNUMBER(R48), G48&gt;=R48), "🎯 BOOK PROFIT", "Hold")))</f>
        <v/>
      </c>
      <c r="U48">
        <f>IF(ISBLANK(F48), "", IF(TODAY()-F48&gt;365, "LTCG", "STCG"))</f>
        <v/>
      </c>
      <c r="V48">
        <f>IF(ISBLANK(L48), "", L48+IF(ISNUMBER(Q48), Q48, 0))</f>
        <v/>
      </c>
    </row>
    <row r="49" ht="16.5" customHeight="1" s="82">
      <c r="A49" s="46" t="n"/>
      <c r="B49" s="50" t="n"/>
      <c r="C49" s="46" t="n"/>
      <c r="D49" s="50" t="n"/>
      <c r="E49" s="53" t="n"/>
      <c r="F49" s="49" t="n"/>
      <c r="G49" s="53" t="n"/>
      <c r="H49" s="50" t="n"/>
      <c r="I49" s="50" t="n"/>
      <c r="J49" s="51">
        <f>IFERROR(D49*E49,"")</f>
        <v/>
      </c>
      <c r="K49" s="51">
        <f>IFERROR(D49*G49,"")</f>
        <v/>
      </c>
      <c r="L49" s="51">
        <f>IFERROR(K49-J49,"")</f>
        <v/>
      </c>
      <c r="M49" s="52">
        <f>IFERROR((K49-J49)/J49,"")</f>
        <v/>
      </c>
      <c r="N49" s="52">
        <f>IFERROR(IF(F49="","",((G49/E49)^(365/MAX(1,TODAY()-F49))-1)),"")</f>
        <v/>
      </c>
      <c r="O49" s="52">
        <f>IFERROR(K49/SUM($K$4:$K$53),"")</f>
        <v/>
      </c>
      <c r="T49">
        <f>IF(ISBLANK(G49), "", IF(AND(ISNUMBER(S49), G49&lt;=S49), "🚨 SELL", IF(AND(ISNUMBER(R49), G49&gt;=R49), "🎯 BOOK PROFIT", "Hold")))</f>
        <v/>
      </c>
      <c r="U49">
        <f>IF(ISBLANK(F49), "", IF(TODAY()-F49&gt;365, "LTCG", "STCG"))</f>
        <v/>
      </c>
      <c r="V49">
        <f>IF(ISBLANK(L49), "", L49+IF(ISNUMBER(Q49), Q49, 0))</f>
        <v/>
      </c>
    </row>
    <row r="50" ht="16.5" customHeight="1" s="82">
      <c r="A50" s="37" t="n"/>
      <c r="B50" s="41" t="n"/>
      <c r="C50" s="37" t="n"/>
      <c r="D50" s="41" t="n"/>
      <c r="E50" s="54" t="n"/>
      <c r="F50" s="40" t="n"/>
      <c r="G50" s="54" t="n"/>
      <c r="H50" s="41" t="n"/>
      <c r="I50" s="41" t="n"/>
      <c r="J50" s="42">
        <f>IFERROR(D50*E50,"")</f>
        <v/>
      </c>
      <c r="K50" s="42">
        <f>IFERROR(D50*G50,"")</f>
        <v/>
      </c>
      <c r="L50" s="42">
        <f>IFERROR(K50-J50,"")</f>
        <v/>
      </c>
      <c r="M50" s="43">
        <f>IFERROR((K50-J50)/J50,"")</f>
        <v/>
      </c>
      <c r="N50" s="43">
        <f>IFERROR(IF(F50="","",((G50/E50)^(365/MAX(1,TODAY()-F50))-1)),"")</f>
        <v/>
      </c>
      <c r="O50" s="43">
        <f>IFERROR(K50/SUM($K$4:$K$53),"")</f>
        <v/>
      </c>
      <c r="T50">
        <f>IF(ISBLANK(G50), "", IF(AND(ISNUMBER(S50), G50&lt;=S50), "🚨 SELL", IF(AND(ISNUMBER(R50), G50&gt;=R50), "🎯 BOOK PROFIT", "Hold")))</f>
        <v/>
      </c>
      <c r="U50">
        <f>IF(ISBLANK(F50), "", IF(TODAY()-F50&gt;365, "LTCG", "STCG"))</f>
        <v/>
      </c>
      <c r="V50">
        <f>IF(ISBLANK(L50), "", L50+IF(ISNUMBER(Q50), Q50, 0))</f>
        <v/>
      </c>
    </row>
    <row r="51" ht="16.5" customHeight="1" s="82">
      <c r="A51" s="46" t="n"/>
      <c r="B51" s="50" t="n"/>
      <c r="C51" s="46" t="n"/>
      <c r="D51" s="50" t="n"/>
      <c r="E51" s="53" t="n"/>
      <c r="F51" s="49" t="n"/>
      <c r="G51" s="53" t="n"/>
      <c r="H51" s="50" t="n"/>
      <c r="I51" s="50" t="n"/>
      <c r="J51" s="51">
        <f>IFERROR(D51*E51,"")</f>
        <v/>
      </c>
      <c r="K51" s="51">
        <f>IFERROR(D51*G51,"")</f>
        <v/>
      </c>
      <c r="L51" s="51">
        <f>IFERROR(K51-J51,"")</f>
        <v/>
      </c>
      <c r="M51" s="52">
        <f>IFERROR((K51-J51)/J51,"")</f>
        <v/>
      </c>
      <c r="N51" s="52">
        <f>IFERROR(IF(F51="","",((G51/E51)^(365/MAX(1,TODAY()-F51))-1)),"")</f>
        <v/>
      </c>
      <c r="O51" s="52">
        <f>IFERROR(K51/SUM($K$4:$K$53),"")</f>
        <v/>
      </c>
    </row>
    <row r="52" ht="16.5" customHeight="1" s="82">
      <c r="A52" s="37" t="n"/>
      <c r="B52" s="41" t="n"/>
      <c r="C52" s="37" t="n"/>
      <c r="D52" s="41" t="n"/>
      <c r="E52" s="54" t="n"/>
      <c r="F52" s="40" t="n"/>
      <c r="G52" s="54" t="n"/>
      <c r="H52" s="41" t="n"/>
      <c r="I52" s="41" t="n"/>
      <c r="J52" s="42">
        <f>IFERROR(D52*E52,"")</f>
        <v/>
      </c>
      <c r="K52" s="42">
        <f>IFERROR(D52*G52,"")</f>
        <v/>
      </c>
      <c r="L52" s="42">
        <f>IFERROR(K52-J52,"")</f>
        <v/>
      </c>
      <c r="M52" s="43">
        <f>IFERROR((K52-J52)/J52,"")</f>
        <v/>
      </c>
      <c r="N52" s="43">
        <f>IFERROR(IF(F52="","",((G52/E52)^(365/MAX(1,TODAY()-F52))-1)),"")</f>
        <v/>
      </c>
      <c r="O52" s="43">
        <f>IFERROR(K52/SUM($K$4:$K$53),"")</f>
        <v/>
      </c>
    </row>
    <row r="53" ht="16.5" customHeight="1" s="82">
      <c r="A53" s="46" t="n"/>
      <c r="B53" s="50" t="n"/>
      <c r="C53" s="46" t="n"/>
      <c r="D53" s="50" t="n"/>
      <c r="E53" s="53" t="n"/>
      <c r="F53" s="49" t="n"/>
      <c r="G53" s="53" t="n"/>
      <c r="H53" s="50" t="n"/>
      <c r="I53" s="50" t="n"/>
      <c r="J53" s="51">
        <f>IFERROR(D53*E53,"")</f>
        <v/>
      </c>
      <c r="K53" s="51">
        <f>IFERROR(D53*G53,"")</f>
        <v/>
      </c>
      <c r="L53" s="51">
        <f>IFERROR(K53-J53,"")</f>
        <v/>
      </c>
      <c r="M53" s="52">
        <f>IFERROR((K53-J53)/J53,"")</f>
        <v/>
      </c>
      <c r="N53" s="52">
        <f>IFERROR(IF(F53="","",((G53/E53)^(365/MAX(1,TODAY()-F53))-1)),"")</f>
        <v/>
      </c>
      <c r="O53" s="52">
        <f>IFERROR(K53/SUM($K$4:$K$53),"")</f>
        <v/>
      </c>
    </row>
    <row r="54" ht="19.5" customHeight="1" s="82">
      <c r="A54" s="56" t="inlineStr">
        <is>
          <t>TOTAL</t>
        </is>
      </c>
      <c r="B54" s="56" t="n"/>
      <c r="C54" s="56" t="n"/>
      <c r="D54" s="56" t="n"/>
      <c r="E54" s="56" t="n"/>
      <c r="F54" s="56" t="n"/>
      <c r="G54" s="56" t="n"/>
      <c r="H54" s="56" t="n"/>
      <c r="I54" s="56" t="n"/>
      <c r="J54" s="57">
        <f>IFERROR(SUM(J4:J53),0)</f>
        <v/>
      </c>
      <c r="K54" s="57">
        <f>IFERROR(SUM(K4:K53),0)</f>
        <v/>
      </c>
      <c r="L54" s="57">
        <f>IFERROR(SUM(L4:L53),0)</f>
        <v/>
      </c>
      <c r="M54" s="58">
        <f>IFERROR((K54-J54)/J54,"")</f>
        <v/>
      </c>
      <c r="N54" s="57" t="n"/>
      <c r="O54" s="57" t="n"/>
    </row>
    <row r="55" ht="14.25" customHeight="1" s="82"/>
    <row r="56" ht="14.25" customHeight="1" s="82"/>
    <row r="57" ht="14.25" customHeight="1" s="82"/>
    <row r="58" ht="14.25" customHeight="1" s="82"/>
    <row r="59" ht="14.25" customHeight="1" s="82"/>
    <row r="60" ht="14.25" customHeight="1" s="82"/>
    <row r="61" ht="14.25" customHeight="1" s="82"/>
    <row r="62" ht="14.25" customHeight="1" s="82"/>
    <row r="63" ht="14.25" customHeight="1" s="82"/>
    <row r="64" ht="14.25" customHeight="1" s="82"/>
    <row r="65" ht="14.25" customHeight="1" s="82"/>
    <row r="66" ht="14.25" customHeight="1" s="82"/>
    <row r="67" ht="14.25" customHeight="1" s="82"/>
    <row r="68" ht="14.25" customHeight="1" s="82"/>
    <row r="69" ht="14.25" customHeight="1" s="82"/>
    <row r="70" ht="14.25" customHeight="1" s="82"/>
    <row r="71" ht="14.25" customHeight="1" s="82"/>
    <row r="72" ht="14.25" customHeight="1" s="82"/>
    <row r="73" ht="14.25" customHeight="1" s="82"/>
    <row r="74" ht="14.25" customHeight="1" s="82"/>
    <row r="75" ht="14.25" customHeight="1" s="82"/>
    <row r="76" ht="14.25" customHeight="1" s="82"/>
    <row r="77" ht="14.25" customHeight="1" s="82"/>
    <row r="78" ht="14.25" customHeight="1" s="82"/>
    <row r="79" ht="14.25" customHeight="1" s="82"/>
    <row r="80" ht="14.25" customHeight="1" s="82"/>
    <row r="81" ht="14.25" customHeight="1" s="82"/>
    <row r="82" ht="14.25" customHeight="1" s="82"/>
    <row r="83" ht="14.25" customHeight="1" s="82"/>
    <row r="84" ht="14.25" customHeight="1" s="82"/>
    <row r="85" ht="14.25" customHeight="1" s="82"/>
    <row r="86" ht="14.25" customHeight="1" s="82"/>
    <row r="87" ht="14.25" customHeight="1" s="82"/>
    <row r="88" ht="14.25" customHeight="1" s="82"/>
    <row r="89" ht="14.25" customHeight="1" s="82"/>
    <row r="90" ht="14.25" customHeight="1" s="82"/>
    <row r="91" ht="14.25" customHeight="1" s="82"/>
    <row r="92" ht="14.25" customHeight="1" s="82"/>
    <row r="93" ht="14.25" customHeight="1" s="82"/>
    <row r="94" ht="14.25" customHeight="1" s="82"/>
    <row r="95" ht="14.25" customHeight="1" s="82"/>
    <row r="96" ht="14.25" customHeight="1" s="82"/>
    <row r="97" ht="14.25" customHeight="1" s="82"/>
    <row r="98" ht="14.25" customHeight="1" s="82"/>
    <row r="99" ht="14.25" customHeight="1" s="82"/>
    <row r="100" ht="14.25" customHeight="1" s="82"/>
    <row r="101" ht="14.25" customHeight="1" s="82"/>
    <row r="102" ht="14.25" customHeight="1" s="82"/>
    <row r="103" ht="14.25" customHeight="1" s="82"/>
    <row r="104" ht="14.25" customHeight="1" s="82"/>
    <row r="105" ht="14.25" customHeight="1" s="82"/>
    <row r="106" ht="14.25" customHeight="1" s="82"/>
    <row r="107" ht="14.25" customHeight="1" s="82"/>
    <row r="108" ht="14.25" customHeight="1" s="82"/>
    <row r="109" ht="14.25" customHeight="1" s="82"/>
    <row r="110" ht="14.25" customHeight="1" s="82"/>
    <row r="111" ht="14.25" customHeight="1" s="82"/>
    <row r="112" ht="14.25" customHeight="1" s="82"/>
    <row r="113" ht="14.25" customHeight="1" s="82"/>
    <row r="114" ht="14.25" customHeight="1" s="82"/>
    <row r="115" ht="14.25" customHeight="1" s="82"/>
    <row r="116" ht="14.25" customHeight="1" s="82"/>
    <row r="117" ht="14.25" customHeight="1" s="82"/>
    <row r="118" ht="14.25" customHeight="1" s="82"/>
    <row r="119" ht="14.25" customHeight="1" s="82"/>
    <row r="120" ht="14.25" customHeight="1" s="82"/>
    <row r="121" ht="14.25" customHeight="1" s="82"/>
    <row r="122" ht="14.25" customHeight="1" s="82"/>
    <row r="123" ht="14.25" customHeight="1" s="82"/>
    <row r="124" ht="14.25" customHeight="1" s="82"/>
    <row r="125" ht="14.25" customHeight="1" s="82"/>
    <row r="126" ht="14.25" customHeight="1" s="82"/>
    <row r="127" ht="14.25" customHeight="1" s="82"/>
    <row r="128" ht="14.25" customHeight="1" s="82"/>
    <row r="129" ht="14.25" customHeight="1" s="82"/>
    <row r="130" ht="14.25" customHeight="1" s="82"/>
    <row r="131" ht="14.25" customHeight="1" s="82"/>
    <row r="132" ht="14.25" customHeight="1" s="82"/>
    <row r="133" ht="14.25" customHeight="1" s="82"/>
    <row r="134" ht="14.25" customHeight="1" s="82"/>
    <row r="135" ht="14.25" customHeight="1" s="82"/>
    <row r="136" ht="14.25" customHeight="1" s="82"/>
    <row r="137" ht="14.25" customHeight="1" s="82"/>
    <row r="138" ht="14.25" customHeight="1" s="82"/>
    <row r="139" ht="14.25" customHeight="1" s="82"/>
    <row r="140" ht="14.25" customHeight="1" s="82"/>
    <row r="141" ht="14.25" customHeight="1" s="82"/>
    <row r="142" ht="14.25" customHeight="1" s="82"/>
    <row r="143" ht="14.25" customHeight="1" s="82"/>
    <row r="144" ht="14.25" customHeight="1" s="82"/>
    <row r="145" ht="14.25" customHeight="1" s="82"/>
    <row r="146" ht="14.25" customHeight="1" s="82"/>
    <row r="147" ht="14.25" customHeight="1" s="82"/>
    <row r="148" ht="14.25" customHeight="1" s="82"/>
    <row r="149" ht="14.25" customHeight="1" s="82"/>
    <row r="150" ht="14.25" customHeight="1" s="82"/>
    <row r="151" ht="14.25" customHeight="1" s="82"/>
    <row r="152" ht="14.25" customHeight="1" s="82"/>
    <row r="153" ht="14.25" customHeight="1" s="82"/>
    <row r="154" ht="14.25" customHeight="1" s="82"/>
    <row r="155" ht="14.25" customHeight="1" s="82"/>
    <row r="156" ht="14.25" customHeight="1" s="82"/>
    <row r="157" ht="14.25" customHeight="1" s="82"/>
    <row r="158" ht="14.25" customHeight="1" s="82"/>
    <row r="159" ht="14.25" customHeight="1" s="82"/>
    <row r="160" ht="14.25" customHeight="1" s="82"/>
    <row r="161" ht="14.25" customHeight="1" s="82"/>
    <row r="162" ht="14.25" customHeight="1" s="82"/>
    <row r="163" ht="14.25" customHeight="1" s="82"/>
    <row r="164" ht="14.25" customHeight="1" s="82"/>
    <row r="165" ht="14.25" customHeight="1" s="82"/>
    <row r="166" ht="14.25" customHeight="1" s="82"/>
    <row r="167" ht="14.25" customHeight="1" s="82"/>
    <row r="168" ht="14.25" customHeight="1" s="82"/>
    <row r="169" ht="14.25" customHeight="1" s="82"/>
    <row r="170" ht="14.25" customHeight="1" s="82"/>
    <row r="171" ht="14.25" customHeight="1" s="82"/>
    <row r="172" ht="14.25" customHeight="1" s="82"/>
    <row r="173" ht="14.25" customHeight="1" s="82"/>
    <row r="174" ht="14.25" customHeight="1" s="82"/>
    <row r="175" ht="14.25" customHeight="1" s="82"/>
    <row r="176" ht="14.25" customHeight="1" s="82"/>
    <row r="177" ht="14.25" customHeight="1" s="82"/>
    <row r="178" ht="14.25" customHeight="1" s="82"/>
    <row r="179" ht="14.25" customHeight="1" s="82"/>
    <row r="180" ht="14.25" customHeight="1" s="82"/>
    <row r="181" ht="14.25" customHeight="1" s="82"/>
    <row r="182" ht="14.25" customHeight="1" s="82"/>
    <row r="183" ht="14.25" customHeight="1" s="82"/>
    <row r="184" ht="14.25" customHeight="1" s="82"/>
    <row r="185" ht="14.25" customHeight="1" s="82"/>
    <row r="186" ht="14.25" customHeight="1" s="82"/>
    <row r="187" ht="14.25" customHeight="1" s="82"/>
    <row r="188" ht="14.25" customHeight="1" s="82"/>
    <row r="189" ht="14.25" customHeight="1" s="82"/>
    <row r="190" ht="14.25" customHeight="1" s="82"/>
    <row r="191" ht="14.25" customHeight="1" s="82"/>
    <row r="192" ht="14.25" customHeight="1" s="82"/>
    <row r="193" ht="14.25" customHeight="1" s="82"/>
    <row r="194" ht="14.25" customHeight="1" s="82"/>
    <row r="195" ht="14.25" customHeight="1" s="82"/>
    <row r="196" ht="14.25" customHeight="1" s="82"/>
    <row r="197" ht="14.25" customHeight="1" s="82"/>
    <row r="198" ht="14.25" customHeight="1" s="82"/>
    <row r="199" ht="14.25" customHeight="1" s="82"/>
    <row r="200" ht="14.25" customHeight="1" s="82"/>
    <row r="201" ht="14.25" customHeight="1" s="82"/>
    <row r="202" ht="14.25" customHeight="1" s="82"/>
    <row r="203" ht="14.25" customHeight="1" s="82"/>
    <row r="204" ht="14.25" customHeight="1" s="82"/>
    <row r="205" ht="14.25" customHeight="1" s="82"/>
    <row r="206" ht="14.25" customHeight="1" s="82"/>
    <row r="207" ht="14.25" customHeight="1" s="82"/>
    <row r="208" ht="14.25" customHeight="1" s="82"/>
    <row r="209" ht="14.25" customHeight="1" s="82"/>
    <row r="210" ht="14.25" customHeight="1" s="82"/>
    <row r="211" ht="14.25" customHeight="1" s="82"/>
    <row r="212" ht="14.25" customHeight="1" s="82"/>
    <row r="213" ht="14.25" customHeight="1" s="82"/>
    <row r="214" ht="14.25" customHeight="1" s="82"/>
    <row r="215" ht="14.25" customHeight="1" s="82"/>
    <row r="216" ht="14.25" customHeight="1" s="82"/>
    <row r="217" ht="14.25" customHeight="1" s="82"/>
    <row r="218" ht="14.25" customHeight="1" s="82"/>
    <row r="219" ht="14.25" customHeight="1" s="82"/>
    <row r="220" ht="14.25" customHeight="1" s="82"/>
    <row r="221" ht="14.25" customHeight="1" s="82"/>
    <row r="222" ht="14.25" customHeight="1" s="82"/>
    <row r="223" ht="14.25" customHeight="1" s="82"/>
    <row r="224" ht="14.25" customHeight="1" s="82"/>
    <row r="225" ht="14.25" customHeight="1" s="82"/>
    <row r="226" ht="14.25" customHeight="1" s="82"/>
    <row r="227" ht="14.25" customHeight="1" s="82"/>
    <row r="228" ht="14.25" customHeight="1" s="82"/>
    <row r="229" ht="14.25" customHeight="1" s="82"/>
    <row r="230" ht="14.25" customHeight="1" s="82"/>
    <row r="231" ht="14.25" customHeight="1" s="82"/>
    <row r="232" ht="14.25" customHeight="1" s="82"/>
    <row r="233" ht="14.25" customHeight="1" s="82"/>
    <row r="234" ht="14.25" customHeight="1" s="82"/>
    <row r="235" ht="14.25" customHeight="1" s="82"/>
    <row r="236" ht="14.25" customHeight="1" s="82"/>
    <row r="237" ht="14.25" customHeight="1" s="82"/>
    <row r="238" ht="14.25" customHeight="1" s="82"/>
    <row r="239" ht="14.25" customHeight="1" s="82"/>
    <row r="240" ht="14.25" customHeight="1" s="82"/>
    <row r="241" ht="14.25" customHeight="1" s="82"/>
    <row r="242" ht="14.25" customHeight="1" s="82"/>
    <row r="243" ht="14.25" customHeight="1" s="82"/>
    <row r="244" ht="14.25" customHeight="1" s="82"/>
    <row r="245" ht="14.25" customHeight="1" s="82"/>
    <row r="246" ht="14.25" customHeight="1" s="82"/>
    <row r="247" ht="14.25" customHeight="1" s="82"/>
    <row r="248" ht="14.25" customHeight="1" s="82"/>
    <row r="249" ht="14.25" customHeight="1" s="82"/>
    <row r="250" ht="14.25" customHeight="1" s="82"/>
    <row r="251" ht="14.25" customHeight="1" s="82"/>
    <row r="252" ht="14.25" customHeight="1" s="82"/>
    <row r="253" ht="14.25" customHeight="1" s="82"/>
    <row r="254" ht="14.25" customHeight="1" s="82"/>
    <row r="255" ht="14.25" customHeight="1" s="82"/>
    <row r="256" ht="14.25" customHeight="1" s="82"/>
    <row r="257" ht="14.25" customHeight="1" s="82"/>
    <row r="258" ht="14.25" customHeight="1" s="82"/>
    <row r="259" ht="14.25" customHeight="1" s="82"/>
    <row r="260" ht="14.25" customHeight="1" s="82"/>
    <row r="261" ht="14.25" customHeight="1" s="82"/>
    <row r="262" ht="14.25" customHeight="1" s="82"/>
    <row r="263" ht="14.25" customHeight="1" s="82"/>
    <row r="264" ht="14.25" customHeight="1" s="82"/>
    <row r="265" ht="14.25" customHeight="1" s="82"/>
    <row r="266" ht="14.25" customHeight="1" s="82"/>
    <row r="267" ht="14.25" customHeight="1" s="82"/>
    <row r="268" ht="14.25" customHeight="1" s="82"/>
    <row r="269" ht="14.25" customHeight="1" s="82"/>
    <row r="270" ht="14.25" customHeight="1" s="82"/>
    <row r="271" ht="14.25" customHeight="1" s="82"/>
    <row r="272" ht="14.25" customHeight="1" s="82"/>
    <row r="273" ht="14.25" customHeight="1" s="82"/>
    <row r="274" ht="14.25" customHeight="1" s="82"/>
    <row r="275" ht="14.25" customHeight="1" s="82"/>
    <row r="276" ht="14.25" customHeight="1" s="82"/>
    <row r="277" ht="14.25" customHeight="1" s="82"/>
    <row r="278" ht="14.25" customHeight="1" s="82"/>
    <row r="279" ht="14.25" customHeight="1" s="82"/>
    <row r="280" ht="14.25" customHeight="1" s="82"/>
    <row r="281" ht="14.25" customHeight="1" s="82"/>
    <row r="282" ht="14.25" customHeight="1" s="82"/>
    <row r="283" ht="14.25" customHeight="1" s="82"/>
    <row r="284" ht="14.25" customHeight="1" s="82"/>
    <row r="285" ht="14.25" customHeight="1" s="82"/>
    <row r="286" ht="14.25" customHeight="1" s="82"/>
    <row r="287" ht="14.25" customHeight="1" s="82"/>
    <row r="288" ht="14.25" customHeight="1" s="82"/>
    <row r="289" ht="14.25" customHeight="1" s="82"/>
    <row r="290" ht="14.25" customHeight="1" s="82"/>
    <row r="291" ht="14.25" customHeight="1" s="82"/>
    <row r="292" ht="14.25" customHeight="1" s="82"/>
    <row r="293" ht="14.25" customHeight="1" s="82"/>
    <row r="294" ht="14.25" customHeight="1" s="82"/>
    <row r="295" ht="14.25" customHeight="1" s="82"/>
    <row r="296" ht="14.25" customHeight="1" s="82"/>
    <row r="297" ht="14.25" customHeight="1" s="82"/>
    <row r="298" ht="14.25" customHeight="1" s="82"/>
    <row r="299" ht="14.25" customHeight="1" s="82"/>
    <row r="300" ht="14.25" customHeight="1" s="82"/>
    <row r="301" ht="14.25" customHeight="1" s="82"/>
    <row r="302" ht="14.25" customHeight="1" s="82"/>
    <row r="303" ht="14.25" customHeight="1" s="82"/>
    <row r="304" ht="14.25" customHeight="1" s="82"/>
    <row r="305" ht="14.25" customHeight="1" s="82"/>
    <row r="306" ht="14.25" customHeight="1" s="82"/>
    <row r="307" ht="14.25" customHeight="1" s="82"/>
    <row r="308" ht="14.25" customHeight="1" s="82"/>
    <row r="309" ht="14.25" customHeight="1" s="82"/>
    <row r="310" ht="14.25" customHeight="1" s="82"/>
    <row r="311" ht="14.25" customHeight="1" s="82"/>
    <row r="312" ht="14.25" customHeight="1" s="82"/>
    <row r="313" ht="14.25" customHeight="1" s="82"/>
    <row r="314" ht="14.25" customHeight="1" s="82"/>
    <row r="315" ht="14.25" customHeight="1" s="82"/>
    <row r="316" ht="14.25" customHeight="1" s="82"/>
    <row r="317" ht="14.25" customHeight="1" s="82"/>
    <row r="318" ht="14.25" customHeight="1" s="82"/>
    <row r="319" ht="14.25" customHeight="1" s="82"/>
    <row r="320" ht="14.25" customHeight="1" s="82"/>
    <row r="321" ht="14.25" customHeight="1" s="82"/>
    <row r="322" ht="14.25" customHeight="1" s="82"/>
    <row r="323" ht="14.25" customHeight="1" s="82"/>
    <row r="324" ht="14.25" customHeight="1" s="82"/>
    <row r="325" ht="14.25" customHeight="1" s="82"/>
    <row r="326" ht="14.25" customHeight="1" s="82"/>
    <row r="327" ht="14.25" customHeight="1" s="82"/>
    <row r="328" ht="14.25" customHeight="1" s="82"/>
    <row r="329" ht="14.25" customHeight="1" s="82"/>
    <row r="330" ht="14.25" customHeight="1" s="82"/>
    <row r="331" ht="14.25" customHeight="1" s="82"/>
    <row r="332" ht="14.25" customHeight="1" s="82"/>
    <row r="333" ht="14.25" customHeight="1" s="82"/>
    <row r="334" ht="14.25" customHeight="1" s="82"/>
    <row r="335" ht="14.25" customHeight="1" s="82"/>
    <row r="336" ht="14.25" customHeight="1" s="82"/>
    <row r="337" ht="14.25" customHeight="1" s="82"/>
    <row r="338" ht="14.25" customHeight="1" s="82"/>
    <row r="339" ht="14.25" customHeight="1" s="82"/>
    <row r="340" ht="14.25" customHeight="1" s="82"/>
    <row r="341" ht="14.25" customHeight="1" s="82"/>
    <row r="342" ht="14.25" customHeight="1" s="82"/>
    <row r="343" ht="14.25" customHeight="1" s="82"/>
    <row r="344" ht="14.25" customHeight="1" s="82"/>
    <row r="345" ht="14.25" customHeight="1" s="82"/>
    <row r="346" ht="14.25" customHeight="1" s="82"/>
    <row r="347" ht="14.25" customHeight="1" s="82"/>
    <row r="348" ht="14.25" customHeight="1" s="82"/>
    <row r="349" ht="14.25" customHeight="1" s="82"/>
    <row r="350" ht="14.25" customHeight="1" s="82"/>
    <row r="351" ht="14.25" customHeight="1" s="82"/>
    <row r="352" ht="14.25" customHeight="1" s="82"/>
    <row r="353" ht="14.25" customHeight="1" s="82"/>
    <row r="354" ht="14.25" customHeight="1" s="82"/>
    <row r="355" ht="14.25" customHeight="1" s="82"/>
    <row r="356" ht="14.25" customHeight="1" s="82"/>
    <row r="357" ht="14.25" customHeight="1" s="82"/>
    <row r="358" ht="14.25" customHeight="1" s="82"/>
    <row r="359" ht="14.25" customHeight="1" s="82"/>
    <row r="360" ht="14.25" customHeight="1" s="82"/>
    <row r="361" ht="14.25" customHeight="1" s="82"/>
    <row r="362" ht="14.25" customHeight="1" s="82"/>
    <row r="363" ht="14.25" customHeight="1" s="82"/>
    <row r="364" ht="14.25" customHeight="1" s="82"/>
    <row r="365" ht="14.25" customHeight="1" s="82"/>
    <row r="366" ht="14.25" customHeight="1" s="82"/>
    <row r="367" ht="14.25" customHeight="1" s="82"/>
    <row r="368" ht="14.25" customHeight="1" s="82"/>
    <row r="369" ht="14.25" customHeight="1" s="82"/>
    <row r="370" ht="14.25" customHeight="1" s="82"/>
    <row r="371" ht="14.25" customHeight="1" s="82"/>
    <row r="372" ht="14.25" customHeight="1" s="82"/>
    <row r="373" ht="14.25" customHeight="1" s="82"/>
    <row r="374" ht="14.25" customHeight="1" s="82"/>
    <row r="375" ht="14.25" customHeight="1" s="82"/>
    <row r="376" ht="14.25" customHeight="1" s="82"/>
    <row r="377" ht="14.25" customHeight="1" s="82"/>
    <row r="378" ht="14.25" customHeight="1" s="82"/>
    <row r="379" ht="14.25" customHeight="1" s="82"/>
    <row r="380" ht="14.25" customHeight="1" s="82"/>
    <row r="381" ht="14.25" customHeight="1" s="82"/>
    <row r="382" ht="14.25" customHeight="1" s="82"/>
    <row r="383" ht="14.25" customHeight="1" s="82"/>
    <row r="384" ht="14.25" customHeight="1" s="82"/>
    <row r="385" ht="14.25" customHeight="1" s="82"/>
    <row r="386" ht="14.25" customHeight="1" s="82"/>
    <row r="387" ht="14.25" customHeight="1" s="82"/>
    <row r="388" ht="14.25" customHeight="1" s="82"/>
    <row r="389" ht="14.25" customHeight="1" s="82"/>
    <row r="390" ht="14.25" customHeight="1" s="82"/>
    <row r="391" ht="14.25" customHeight="1" s="82"/>
    <row r="392" ht="14.25" customHeight="1" s="82"/>
    <row r="393" ht="14.25" customHeight="1" s="82"/>
    <row r="394" ht="14.25" customHeight="1" s="82"/>
    <row r="395" ht="14.25" customHeight="1" s="82"/>
    <row r="396" ht="14.25" customHeight="1" s="82"/>
    <row r="397" ht="14.25" customHeight="1" s="82"/>
    <row r="398" ht="14.25" customHeight="1" s="82"/>
    <row r="399" ht="14.25" customHeight="1" s="82"/>
    <row r="400" ht="14.25" customHeight="1" s="82"/>
    <row r="401" ht="14.25" customHeight="1" s="82"/>
    <row r="402" ht="14.25" customHeight="1" s="82"/>
    <row r="403" ht="14.25" customHeight="1" s="82"/>
    <row r="404" ht="14.25" customHeight="1" s="82"/>
    <row r="405" ht="14.25" customHeight="1" s="82"/>
    <row r="406" ht="14.25" customHeight="1" s="82"/>
    <row r="407" ht="14.25" customHeight="1" s="82"/>
    <row r="408" ht="14.25" customHeight="1" s="82"/>
    <row r="409" ht="14.25" customHeight="1" s="82"/>
    <row r="410" ht="14.25" customHeight="1" s="82"/>
    <row r="411" ht="14.25" customHeight="1" s="82"/>
    <row r="412" ht="14.25" customHeight="1" s="82"/>
    <row r="413" ht="14.25" customHeight="1" s="82"/>
    <row r="414" ht="14.25" customHeight="1" s="82"/>
    <row r="415" ht="14.25" customHeight="1" s="82"/>
    <row r="416" ht="14.25" customHeight="1" s="82"/>
    <row r="417" ht="14.25" customHeight="1" s="82"/>
    <row r="418" ht="14.25" customHeight="1" s="82"/>
    <row r="419" ht="14.25" customHeight="1" s="82"/>
    <row r="420" ht="14.25" customHeight="1" s="82"/>
    <row r="421" ht="14.25" customHeight="1" s="82"/>
    <row r="422" ht="14.25" customHeight="1" s="82"/>
    <row r="423" ht="14.25" customHeight="1" s="82"/>
    <row r="424" ht="14.25" customHeight="1" s="82"/>
    <row r="425" ht="14.25" customHeight="1" s="82"/>
    <row r="426" ht="14.25" customHeight="1" s="82"/>
    <row r="427" ht="14.25" customHeight="1" s="82"/>
    <row r="428" ht="14.25" customHeight="1" s="82"/>
    <row r="429" ht="14.25" customHeight="1" s="82"/>
    <row r="430" ht="14.25" customHeight="1" s="82"/>
    <row r="431" ht="14.25" customHeight="1" s="82"/>
    <row r="432" ht="14.25" customHeight="1" s="82"/>
    <row r="433" ht="14.25" customHeight="1" s="82"/>
    <row r="434" ht="14.25" customHeight="1" s="82"/>
    <row r="435" ht="14.25" customHeight="1" s="82"/>
    <row r="436" ht="14.25" customHeight="1" s="82"/>
    <row r="437" ht="14.25" customHeight="1" s="82"/>
    <row r="438" ht="14.25" customHeight="1" s="82"/>
    <row r="439" ht="14.25" customHeight="1" s="82"/>
    <row r="440" ht="14.25" customHeight="1" s="82"/>
    <row r="441" ht="14.25" customHeight="1" s="82"/>
    <row r="442" ht="14.25" customHeight="1" s="82"/>
    <row r="443" ht="14.25" customHeight="1" s="82"/>
    <row r="444" ht="14.25" customHeight="1" s="82"/>
    <row r="445" ht="14.25" customHeight="1" s="82"/>
    <row r="446" ht="14.25" customHeight="1" s="82"/>
    <row r="447" ht="14.25" customHeight="1" s="82"/>
    <row r="448" ht="14.25" customHeight="1" s="82"/>
    <row r="449" ht="14.25" customHeight="1" s="82"/>
    <row r="450" ht="14.25" customHeight="1" s="82"/>
    <row r="451" ht="14.25" customHeight="1" s="82"/>
    <row r="452" ht="14.25" customHeight="1" s="82"/>
    <row r="453" ht="14.25" customHeight="1" s="82"/>
    <row r="454" ht="14.25" customHeight="1" s="82"/>
    <row r="455" ht="14.25" customHeight="1" s="82"/>
    <row r="456" ht="14.25" customHeight="1" s="82"/>
    <row r="457" ht="14.25" customHeight="1" s="82"/>
    <row r="458" ht="14.25" customHeight="1" s="82"/>
    <row r="459" ht="14.25" customHeight="1" s="82"/>
    <row r="460" ht="14.25" customHeight="1" s="82"/>
    <row r="461" ht="14.25" customHeight="1" s="82"/>
    <row r="462" ht="14.25" customHeight="1" s="82"/>
    <row r="463" ht="14.25" customHeight="1" s="82"/>
    <row r="464" ht="14.25" customHeight="1" s="82"/>
    <row r="465" ht="14.25" customHeight="1" s="82"/>
    <row r="466" ht="14.25" customHeight="1" s="82"/>
    <row r="467" ht="14.25" customHeight="1" s="82"/>
    <row r="468" ht="14.25" customHeight="1" s="82"/>
    <row r="469" ht="14.25" customHeight="1" s="82"/>
    <row r="470" ht="14.25" customHeight="1" s="82"/>
    <row r="471" ht="14.25" customHeight="1" s="82"/>
    <row r="472" ht="14.25" customHeight="1" s="82"/>
    <row r="473" ht="14.25" customHeight="1" s="82"/>
    <row r="474" ht="14.25" customHeight="1" s="82"/>
    <row r="475" ht="14.25" customHeight="1" s="82"/>
    <row r="476" ht="14.25" customHeight="1" s="82"/>
    <row r="477" ht="14.25" customHeight="1" s="82"/>
    <row r="478" ht="14.25" customHeight="1" s="82"/>
    <row r="479" ht="14.25" customHeight="1" s="82"/>
    <row r="480" ht="14.25" customHeight="1" s="82"/>
    <row r="481" ht="14.25" customHeight="1" s="82"/>
    <row r="482" ht="14.25" customHeight="1" s="82"/>
    <row r="483" ht="14.25" customHeight="1" s="82"/>
    <row r="484" ht="14.25" customHeight="1" s="82"/>
    <row r="485" ht="14.25" customHeight="1" s="82"/>
    <row r="486" ht="14.25" customHeight="1" s="82"/>
    <row r="487" ht="14.25" customHeight="1" s="82"/>
    <row r="488" ht="14.25" customHeight="1" s="82"/>
    <row r="489" ht="14.25" customHeight="1" s="82"/>
    <row r="490" ht="14.25" customHeight="1" s="82"/>
    <row r="491" ht="14.25" customHeight="1" s="82"/>
    <row r="492" ht="14.25" customHeight="1" s="82"/>
    <row r="493" ht="14.25" customHeight="1" s="82"/>
    <row r="494" ht="14.25" customHeight="1" s="82"/>
    <row r="495" ht="14.25" customHeight="1" s="82"/>
    <row r="496" ht="14.25" customHeight="1" s="82"/>
    <row r="497" ht="14.25" customHeight="1" s="82"/>
    <row r="498" ht="14.25" customHeight="1" s="82"/>
    <row r="499" ht="14.25" customHeight="1" s="82"/>
    <row r="500" ht="14.25" customHeight="1" s="82"/>
    <row r="501" ht="14.25" customHeight="1" s="82"/>
    <row r="502" ht="14.25" customHeight="1" s="82"/>
    <row r="503" ht="14.25" customHeight="1" s="82"/>
    <row r="504" ht="14.25" customHeight="1" s="82"/>
    <row r="505" ht="14.25" customHeight="1" s="82"/>
    <row r="506" ht="14.25" customHeight="1" s="82"/>
    <row r="507" ht="14.25" customHeight="1" s="82"/>
    <row r="508" ht="14.25" customHeight="1" s="82"/>
    <row r="509" ht="14.25" customHeight="1" s="82"/>
    <row r="510" ht="14.25" customHeight="1" s="82"/>
    <row r="511" ht="14.25" customHeight="1" s="82"/>
    <row r="512" ht="14.25" customHeight="1" s="82"/>
    <row r="513" ht="14.25" customHeight="1" s="82"/>
    <row r="514" ht="14.25" customHeight="1" s="82"/>
    <row r="515" ht="14.25" customHeight="1" s="82"/>
    <row r="516" ht="14.25" customHeight="1" s="82"/>
    <row r="517" ht="14.25" customHeight="1" s="82"/>
    <row r="518" ht="14.25" customHeight="1" s="82"/>
    <row r="519" ht="14.25" customHeight="1" s="82"/>
    <row r="520" ht="14.25" customHeight="1" s="82"/>
    <row r="521" ht="14.25" customHeight="1" s="82"/>
    <row r="522" ht="14.25" customHeight="1" s="82"/>
    <row r="523" ht="14.25" customHeight="1" s="82"/>
    <row r="524" ht="14.25" customHeight="1" s="82"/>
    <row r="525" ht="14.25" customHeight="1" s="82"/>
    <row r="526" ht="14.25" customHeight="1" s="82"/>
    <row r="527" ht="14.25" customHeight="1" s="82"/>
    <row r="528" ht="14.25" customHeight="1" s="82"/>
    <row r="529" ht="14.25" customHeight="1" s="82"/>
    <row r="530" ht="14.25" customHeight="1" s="82"/>
    <row r="531" ht="14.25" customHeight="1" s="82"/>
    <row r="532" ht="14.25" customHeight="1" s="82"/>
    <row r="533" ht="14.25" customHeight="1" s="82"/>
    <row r="534" ht="14.25" customHeight="1" s="82"/>
    <row r="535" ht="14.25" customHeight="1" s="82"/>
    <row r="536" ht="14.25" customHeight="1" s="82"/>
    <row r="537" ht="14.25" customHeight="1" s="82"/>
    <row r="538" ht="14.25" customHeight="1" s="82"/>
    <row r="539" ht="14.25" customHeight="1" s="82"/>
    <row r="540" ht="14.25" customHeight="1" s="82"/>
    <row r="541" ht="14.25" customHeight="1" s="82"/>
    <row r="542" ht="14.25" customHeight="1" s="82"/>
    <row r="543" ht="14.25" customHeight="1" s="82"/>
    <row r="544" ht="14.25" customHeight="1" s="82"/>
    <row r="545" ht="14.25" customHeight="1" s="82"/>
    <row r="546" ht="14.25" customHeight="1" s="82"/>
    <row r="547" ht="14.25" customHeight="1" s="82"/>
    <row r="548" ht="14.25" customHeight="1" s="82"/>
    <row r="549" ht="14.25" customHeight="1" s="82"/>
    <row r="550" ht="14.25" customHeight="1" s="82"/>
    <row r="551" ht="14.25" customHeight="1" s="82"/>
    <row r="552" ht="14.25" customHeight="1" s="82"/>
    <row r="553" ht="14.25" customHeight="1" s="82"/>
    <row r="554" ht="14.25" customHeight="1" s="82"/>
    <row r="555" ht="14.25" customHeight="1" s="82"/>
    <row r="556" ht="14.25" customHeight="1" s="82"/>
    <row r="557" ht="14.25" customHeight="1" s="82"/>
    <row r="558" ht="14.25" customHeight="1" s="82"/>
    <row r="559" ht="14.25" customHeight="1" s="82"/>
    <row r="560" ht="14.25" customHeight="1" s="82"/>
    <row r="561" ht="14.25" customHeight="1" s="82"/>
    <row r="562" ht="14.25" customHeight="1" s="82"/>
    <row r="563" ht="14.25" customHeight="1" s="82"/>
    <row r="564" ht="14.25" customHeight="1" s="82"/>
    <row r="565" ht="14.25" customHeight="1" s="82"/>
    <row r="566" ht="14.25" customHeight="1" s="82"/>
    <row r="567" ht="14.25" customHeight="1" s="82"/>
    <row r="568" ht="14.25" customHeight="1" s="82"/>
    <row r="569" ht="14.25" customHeight="1" s="82"/>
    <row r="570" ht="14.25" customHeight="1" s="82"/>
    <row r="571" ht="14.25" customHeight="1" s="82"/>
    <row r="572" ht="14.25" customHeight="1" s="82"/>
    <row r="573" ht="14.25" customHeight="1" s="82"/>
    <row r="574" ht="14.25" customHeight="1" s="82"/>
    <row r="575" ht="14.25" customHeight="1" s="82"/>
    <row r="576" ht="14.25" customHeight="1" s="82"/>
    <row r="577" ht="14.25" customHeight="1" s="82"/>
    <row r="578" ht="14.25" customHeight="1" s="82"/>
    <row r="579" ht="14.25" customHeight="1" s="82"/>
    <row r="580" ht="14.25" customHeight="1" s="82"/>
    <row r="581" ht="14.25" customHeight="1" s="82"/>
    <row r="582" ht="14.25" customHeight="1" s="82"/>
    <row r="583" ht="14.25" customHeight="1" s="82"/>
    <row r="584" ht="14.25" customHeight="1" s="82"/>
    <row r="585" ht="14.25" customHeight="1" s="82"/>
    <row r="586" ht="14.25" customHeight="1" s="82"/>
    <row r="587" ht="14.25" customHeight="1" s="82"/>
    <row r="588" ht="14.25" customHeight="1" s="82"/>
    <row r="589" ht="14.25" customHeight="1" s="82"/>
    <row r="590" ht="14.25" customHeight="1" s="82"/>
    <row r="591" ht="14.25" customHeight="1" s="82"/>
    <row r="592" ht="14.25" customHeight="1" s="82"/>
    <row r="593" ht="14.25" customHeight="1" s="82"/>
    <row r="594" ht="14.25" customHeight="1" s="82"/>
    <row r="595" ht="14.25" customHeight="1" s="82"/>
    <row r="596" ht="14.25" customHeight="1" s="82"/>
    <row r="597" ht="14.25" customHeight="1" s="82"/>
    <row r="598" ht="14.25" customHeight="1" s="82"/>
    <row r="599" ht="14.25" customHeight="1" s="82"/>
    <row r="600" ht="14.25" customHeight="1" s="82"/>
    <row r="601" ht="14.25" customHeight="1" s="82"/>
    <row r="602" ht="14.25" customHeight="1" s="82"/>
    <row r="603" ht="14.25" customHeight="1" s="82"/>
    <row r="604" ht="14.25" customHeight="1" s="82"/>
    <row r="605" ht="14.25" customHeight="1" s="82"/>
    <row r="606" ht="14.25" customHeight="1" s="82"/>
    <row r="607" ht="14.25" customHeight="1" s="82"/>
    <row r="608" ht="14.25" customHeight="1" s="82"/>
    <row r="609" ht="14.25" customHeight="1" s="82"/>
    <row r="610" ht="14.25" customHeight="1" s="82"/>
    <row r="611" ht="14.25" customHeight="1" s="82"/>
    <row r="612" ht="14.25" customHeight="1" s="82"/>
    <row r="613" ht="14.25" customHeight="1" s="82"/>
    <row r="614" ht="14.25" customHeight="1" s="82"/>
    <row r="615" ht="14.25" customHeight="1" s="82"/>
    <row r="616" ht="14.25" customHeight="1" s="82"/>
    <row r="617" ht="14.25" customHeight="1" s="82"/>
    <row r="618" ht="14.25" customHeight="1" s="82"/>
    <row r="619" ht="14.25" customHeight="1" s="82"/>
    <row r="620" ht="14.25" customHeight="1" s="82"/>
    <row r="621" ht="14.25" customHeight="1" s="82"/>
    <row r="622" ht="14.25" customHeight="1" s="82"/>
    <row r="623" ht="14.25" customHeight="1" s="82"/>
    <row r="624" ht="14.25" customHeight="1" s="82"/>
    <row r="625" ht="14.25" customHeight="1" s="82"/>
    <row r="626" ht="14.25" customHeight="1" s="82"/>
    <row r="627" ht="14.25" customHeight="1" s="82"/>
    <row r="628" ht="14.25" customHeight="1" s="82"/>
    <row r="629" ht="14.25" customHeight="1" s="82"/>
    <row r="630" ht="14.25" customHeight="1" s="82"/>
    <row r="631" ht="14.25" customHeight="1" s="82"/>
    <row r="632" ht="14.25" customHeight="1" s="82"/>
    <row r="633" ht="14.25" customHeight="1" s="82"/>
    <row r="634" ht="14.25" customHeight="1" s="82"/>
    <row r="635" ht="14.25" customHeight="1" s="82"/>
    <row r="636" ht="14.25" customHeight="1" s="82"/>
    <row r="637" ht="14.25" customHeight="1" s="82"/>
    <row r="638" ht="14.25" customHeight="1" s="82"/>
    <row r="639" ht="14.25" customHeight="1" s="82"/>
    <row r="640" ht="14.25" customHeight="1" s="82"/>
    <row r="641" ht="14.25" customHeight="1" s="82"/>
    <row r="642" ht="14.25" customHeight="1" s="82"/>
    <row r="643" ht="14.25" customHeight="1" s="82"/>
    <row r="644" ht="14.25" customHeight="1" s="82"/>
    <row r="645" ht="14.25" customHeight="1" s="82"/>
    <row r="646" ht="14.25" customHeight="1" s="82"/>
    <row r="647" ht="14.25" customHeight="1" s="82"/>
    <row r="648" ht="14.25" customHeight="1" s="82"/>
    <row r="649" ht="14.25" customHeight="1" s="82"/>
    <row r="650" ht="14.25" customHeight="1" s="82"/>
    <row r="651" ht="14.25" customHeight="1" s="82"/>
    <row r="652" ht="14.25" customHeight="1" s="82"/>
    <row r="653" ht="14.25" customHeight="1" s="82"/>
    <row r="654" ht="14.25" customHeight="1" s="82"/>
    <row r="655" ht="14.25" customHeight="1" s="82"/>
    <row r="656" ht="14.25" customHeight="1" s="82"/>
    <row r="657" ht="14.25" customHeight="1" s="82"/>
    <row r="658" ht="14.25" customHeight="1" s="82"/>
    <row r="659" ht="14.25" customHeight="1" s="82"/>
    <row r="660" ht="14.25" customHeight="1" s="82"/>
    <row r="661" ht="14.25" customHeight="1" s="82"/>
    <row r="662" ht="14.25" customHeight="1" s="82"/>
    <row r="663" ht="14.25" customHeight="1" s="82"/>
    <row r="664" ht="14.25" customHeight="1" s="82"/>
    <row r="665" ht="14.25" customHeight="1" s="82"/>
    <row r="666" ht="14.25" customHeight="1" s="82"/>
    <row r="667" ht="14.25" customHeight="1" s="82"/>
    <row r="668" ht="14.25" customHeight="1" s="82"/>
    <row r="669" ht="14.25" customHeight="1" s="82"/>
    <row r="670" ht="14.25" customHeight="1" s="82"/>
    <row r="671" ht="14.25" customHeight="1" s="82"/>
    <row r="672" ht="14.25" customHeight="1" s="82"/>
    <row r="673" ht="14.25" customHeight="1" s="82"/>
    <row r="674" ht="14.25" customHeight="1" s="82"/>
    <row r="675" ht="14.25" customHeight="1" s="82"/>
    <row r="676" ht="14.25" customHeight="1" s="82"/>
    <row r="677" ht="14.25" customHeight="1" s="82"/>
    <row r="678" ht="14.25" customHeight="1" s="82"/>
    <row r="679" ht="14.25" customHeight="1" s="82"/>
    <row r="680" ht="14.25" customHeight="1" s="82"/>
    <row r="681" ht="14.25" customHeight="1" s="82"/>
    <row r="682" ht="14.25" customHeight="1" s="82"/>
    <row r="683" ht="14.25" customHeight="1" s="82"/>
    <row r="684" ht="14.25" customHeight="1" s="82"/>
    <row r="685" ht="14.25" customHeight="1" s="82"/>
    <row r="686" ht="14.25" customHeight="1" s="82"/>
    <row r="687" ht="14.25" customHeight="1" s="82"/>
    <row r="688" ht="14.25" customHeight="1" s="82"/>
    <row r="689" ht="14.25" customHeight="1" s="82"/>
    <row r="690" ht="14.25" customHeight="1" s="82"/>
    <row r="691" ht="14.25" customHeight="1" s="82"/>
    <row r="692" ht="14.25" customHeight="1" s="82"/>
    <row r="693" ht="14.25" customHeight="1" s="82"/>
    <row r="694" ht="14.25" customHeight="1" s="82"/>
    <row r="695" ht="14.25" customHeight="1" s="82"/>
    <row r="696" ht="14.25" customHeight="1" s="82"/>
    <row r="697" ht="14.25" customHeight="1" s="82"/>
    <row r="698" ht="14.25" customHeight="1" s="82"/>
    <row r="699" ht="14.25" customHeight="1" s="82"/>
    <row r="700" ht="14.25" customHeight="1" s="82"/>
    <row r="701" ht="14.25" customHeight="1" s="82"/>
    <row r="702" ht="14.25" customHeight="1" s="82"/>
    <row r="703" ht="14.25" customHeight="1" s="82"/>
    <row r="704" ht="14.25" customHeight="1" s="82"/>
    <row r="705" ht="14.25" customHeight="1" s="82"/>
    <row r="706" ht="14.25" customHeight="1" s="82"/>
    <row r="707" ht="14.25" customHeight="1" s="82"/>
    <row r="708" ht="14.25" customHeight="1" s="82"/>
    <row r="709" ht="14.25" customHeight="1" s="82"/>
    <row r="710" ht="14.25" customHeight="1" s="82"/>
    <row r="711" ht="14.25" customHeight="1" s="82"/>
    <row r="712" ht="14.25" customHeight="1" s="82"/>
    <row r="713" ht="14.25" customHeight="1" s="82"/>
    <row r="714" ht="14.25" customHeight="1" s="82"/>
    <row r="715" ht="14.25" customHeight="1" s="82"/>
    <row r="716" ht="14.25" customHeight="1" s="82"/>
    <row r="717" ht="14.25" customHeight="1" s="82"/>
    <row r="718" ht="14.25" customHeight="1" s="82"/>
    <row r="719" ht="14.25" customHeight="1" s="82"/>
    <row r="720" ht="14.25" customHeight="1" s="82"/>
    <row r="721" ht="14.25" customHeight="1" s="82"/>
    <row r="722" ht="14.25" customHeight="1" s="82"/>
    <row r="723" ht="14.25" customHeight="1" s="82"/>
    <row r="724" ht="14.25" customHeight="1" s="82"/>
    <row r="725" ht="14.25" customHeight="1" s="82"/>
    <row r="726" ht="14.25" customHeight="1" s="82"/>
    <row r="727" ht="14.25" customHeight="1" s="82"/>
    <row r="728" ht="14.25" customHeight="1" s="82"/>
    <row r="729" ht="14.25" customHeight="1" s="82"/>
    <row r="730" ht="14.25" customHeight="1" s="82"/>
    <row r="731" ht="14.25" customHeight="1" s="82"/>
    <row r="732" ht="14.25" customHeight="1" s="82"/>
    <row r="733" ht="14.25" customHeight="1" s="82"/>
    <row r="734" ht="14.25" customHeight="1" s="82"/>
    <row r="735" ht="14.25" customHeight="1" s="82"/>
    <row r="736" ht="14.25" customHeight="1" s="82"/>
    <row r="737" ht="14.25" customHeight="1" s="82"/>
    <row r="738" ht="14.25" customHeight="1" s="82"/>
    <row r="739" ht="14.25" customHeight="1" s="82"/>
    <row r="740" ht="14.25" customHeight="1" s="82"/>
    <row r="741" ht="14.25" customHeight="1" s="82"/>
    <row r="742" ht="14.25" customHeight="1" s="82"/>
    <row r="743" ht="14.25" customHeight="1" s="82"/>
    <row r="744" ht="14.25" customHeight="1" s="82"/>
    <row r="745" ht="14.25" customHeight="1" s="82"/>
    <row r="746" ht="14.25" customHeight="1" s="82"/>
    <row r="747" ht="14.25" customHeight="1" s="82"/>
    <row r="748" ht="14.25" customHeight="1" s="82"/>
    <row r="749" ht="14.25" customHeight="1" s="82"/>
    <row r="750" ht="14.25" customHeight="1" s="82"/>
    <row r="751" ht="14.25" customHeight="1" s="82"/>
    <row r="752" ht="14.25" customHeight="1" s="82"/>
    <row r="753" ht="14.25" customHeight="1" s="82"/>
    <row r="754" ht="14.25" customHeight="1" s="82"/>
    <row r="755" ht="14.25" customHeight="1" s="82"/>
    <row r="756" ht="14.25" customHeight="1" s="82"/>
    <row r="757" ht="14.25" customHeight="1" s="82"/>
    <row r="758" ht="14.25" customHeight="1" s="82"/>
    <row r="759" ht="14.25" customHeight="1" s="82"/>
    <row r="760" ht="14.25" customHeight="1" s="82"/>
    <row r="761" ht="14.25" customHeight="1" s="82"/>
    <row r="762" ht="14.25" customHeight="1" s="82"/>
    <row r="763" ht="14.25" customHeight="1" s="82"/>
    <row r="764" ht="14.25" customHeight="1" s="82"/>
    <row r="765" ht="14.25" customHeight="1" s="82"/>
    <row r="766" ht="14.25" customHeight="1" s="82"/>
    <row r="767" ht="14.25" customHeight="1" s="82"/>
    <row r="768" ht="14.25" customHeight="1" s="82"/>
    <row r="769" ht="14.25" customHeight="1" s="82"/>
    <row r="770" ht="14.25" customHeight="1" s="82"/>
    <row r="771" ht="14.25" customHeight="1" s="82"/>
    <row r="772" ht="14.25" customHeight="1" s="82"/>
    <row r="773" ht="14.25" customHeight="1" s="82"/>
    <row r="774" ht="14.25" customHeight="1" s="82"/>
    <row r="775" ht="14.25" customHeight="1" s="82"/>
    <row r="776" ht="14.25" customHeight="1" s="82"/>
    <row r="777" ht="14.25" customHeight="1" s="82"/>
    <row r="778" ht="14.25" customHeight="1" s="82"/>
    <row r="779" ht="14.25" customHeight="1" s="82"/>
    <row r="780" ht="14.25" customHeight="1" s="82"/>
    <row r="781" ht="14.25" customHeight="1" s="82"/>
    <row r="782" ht="14.25" customHeight="1" s="82"/>
    <row r="783" ht="14.25" customHeight="1" s="82"/>
    <row r="784" ht="14.25" customHeight="1" s="82"/>
    <row r="785" ht="14.25" customHeight="1" s="82"/>
    <row r="786" ht="14.25" customHeight="1" s="82"/>
    <row r="787" ht="14.25" customHeight="1" s="82"/>
    <row r="788" ht="14.25" customHeight="1" s="82"/>
    <row r="789" ht="14.25" customHeight="1" s="82"/>
    <row r="790" ht="14.25" customHeight="1" s="82"/>
    <row r="791" ht="14.25" customHeight="1" s="82"/>
    <row r="792" ht="14.25" customHeight="1" s="82"/>
    <row r="793" ht="14.25" customHeight="1" s="82"/>
    <row r="794" ht="14.25" customHeight="1" s="82"/>
    <row r="795" ht="14.25" customHeight="1" s="82"/>
    <row r="796" ht="14.25" customHeight="1" s="82"/>
    <row r="797" ht="14.25" customHeight="1" s="82"/>
    <row r="798" ht="14.25" customHeight="1" s="82"/>
    <row r="799" ht="14.25" customHeight="1" s="82"/>
    <row r="800" ht="14.25" customHeight="1" s="82"/>
    <row r="801" ht="14.25" customHeight="1" s="82"/>
    <row r="802" ht="14.25" customHeight="1" s="82"/>
    <row r="803" ht="14.25" customHeight="1" s="82"/>
    <row r="804" ht="14.25" customHeight="1" s="82"/>
    <row r="805" ht="14.25" customHeight="1" s="82"/>
    <row r="806" ht="14.25" customHeight="1" s="82"/>
    <row r="807" ht="14.25" customHeight="1" s="82"/>
    <row r="808" ht="14.25" customHeight="1" s="82"/>
    <row r="809" ht="14.25" customHeight="1" s="82"/>
    <row r="810" ht="14.25" customHeight="1" s="82"/>
    <row r="811" ht="14.25" customHeight="1" s="82"/>
    <row r="812" ht="14.25" customHeight="1" s="82"/>
    <row r="813" ht="14.25" customHeight="1" s="82"/>
    <row r="814" ht="14.25" customHeight="1" s="82"/>
    <row r="815" ht="14.25" customHeight="1" s="82"/>
    <row r="816" ht="14.25" customHeight="1" s="82"/>
    <row r="817" ht="14.25" customHeight="1" s="82"/>
    <row r="818" ht="14.25" customHeight="1" s="82"/>
    <row r="819" ht="14.25" customHeight="1" s="82"/>
    <row r="820" ht="14.25" customHeight="1" s="82"/>
    <row r="821" ht="14.25" customHeight="1" s="82"/>
    <row r="822" ht="14.25" customHeight="1" s="82"/>
    <row r="823" ht="14.25" customHeight="1" s="82"/>
    <row r="824" ht="14.25" customHeight="1" s="82"/>
    <row r="825" ht="14.25" customHeight="1" s="82"/>
    <row r="826" ht="14.25" customHeight="1" s="82"/>
    <row r="827" ht="14.25" customHeight="1" s="82"/>
    <row r="828" ht="14.25" customHeight="1" s="82"/>
    <row r="829" ht="14.25" customHeight="1" s="82"/>
    <row r="830" ht="14.25" customHeight="1" s="82"/>
    <row r="831" ht="14.25" customHeight="1" s="82"/>
    <row r="832" ht="14.25" customHeight="1" s="82"/>
    <row r="833" ht="14.25" customHeight="1" s="82"/>
    <row r="834" ht="14.25" customHeight="1" s="82"/>
    <row r="835" ht="14.25" customHeight="1" s="82"/>
    <row r="836" ht="14.25" customHeight="1" s="82"/>
    <row r="837" ht="14.25" customHeight="1" s="82"/>
    <row r="838" ht="14.25" customHeight="1" s="82"/>
    <row r="839" ht="14.25" customHeight="1" s="82"/>
    <row r="840" ht="14.25" customHeight="1" s="82"/>
    <row r="841" ht="14.25" customHeight="1" s="82"/>
    <row r="842" ht="14.25" customHeight="1" s="82"/>
    <row r="843" ht="14.25" customHeight="1" s="82"/>
    <row r="844" ht="14.25" customHeight="1" s="82"/>
    <row r="845" ht="14.25" customHeight="1" s="82"/>
    <row r="846" ht="14.25" customHeight="1" s="82"/>
    <row r="847" ht="14.25" customHeight="1" s="82"/>
    <row r="848" ht="14.25" customHeight="1" s="82"/>
    <row r="849" ht="14.25" customHeight="1" s="82"/>
    <row r="850" ht="14.25" customHeight="1" s="82"/>
    <row r="851" ht="14.25" customHeight="1" s="82"/>
    <row r="852" ht="14.25" customHeight="1" s="82"/>
    <row r="853" ht="14.25" customHeight="1" s="82"/>
    <row r="854" ht="14.25" customHeight="1" s="82"/>
    <row r="855" ht="14.25" customHeight="1" s="82"/>
    <row r="856" ht="14.25" customHeight="1" s="82"/>
    <row r="857" ht="14.25" customHeight="1" s="82"/>
    <row r="858" ht="14.25" customHeight="1" s="82"/>
    <row r="859" ht="14.25" customHeight="1" s="82"/>
    <row r="860" ht="14.25" customHeight="1" s="82"/>
    <row r="861" ht="14.25" customHeight="1" s="82"/>
    <row r="862" ht="14.25" customHeight="1" s="82"/>
    <row r="863" ht="14.25" customHeight="1" s="82"/>
    <row r="864" ht="14.25" customHeight="1" s="82"/>
    <row r="865" ht="14.25" customHeight="1" s="82"/>
    <row r="866" ht="14.25" customHeight="1" s="82"/>
    <row r="867" ht="14.25" customHeight="1" s="82"/>
    <row r="868" ht="14.25" customHeight="1" s="82"/>
    <row r="869" ht="14.25" customHeight="1" s="82"/>
    <row r="870" ht="14.25" customHeight="1" s="82"/>
    <row r="871" ht="14.25" customHeight="1" s="82"/>
    <row r="872" ht="14.25" customHeight="1" s="82"/>
    <row r="873" ht="14.25" customHeight="1" s="82"/>
    <row r="874" ht="14.25" customHeight="1" s="82"/>
    <row r="875" ht="14.25" customHeight="1" s="82"/>
    <row r="876" ht="14.25" customHeight="1" s="82"/>
    <row r="877" ht="14.25" customHeight="1" s="82"/>
    <row r="878" ht="14.25" customHeight="1" s="82"/>
    <row r="879" ht="14.25" customHeight="1" s="82"/>
    <row r="880" ht="14.25" customHeight="1" s="82"/>
    <row r="881" ht="14.25" customHeight="1" s="82"/>
    <row r="882" ht="14.25" customHeight="1" s="82"/>
    <row r="883" ht="14.25" customHeight="1" s="82"/>
    <row r="884" ht="14.25" customHeight="1" s="82"/>
    <row r="885" ht="14.25" customHeight="1" s="82"/>
    <row r="886" ht="14.25" customHeight="1" s="82"/>
    <row r="887" ht="14.25" customHeight="1" s="82"/>
    <row r="888" ht="14.25" customHeight="1" s="82"/>
    <row r="889" ht="14.25" customHeight="1" s="82"/>
    <row r="890" ht="14.25" customHeight="1" s="82"/>
    <row r="891" ht="14.25" customHeight="1" s="82"/>
    <row r="892" ht="14.25" customHeight="1" s="82"/>
    <row r="893" ht="14.25" customHeight="1" s="82"/>
    <row r="894" ht="14.25" customHeight="1" s="82"/>
    <row r="895" ht="14.25" customHeight="1" s="82"/>
    <row r="896" ht="14.25" customHeight="1" s="82"/>
    <row r="897" ht="14.25" customHeight="1" s="82"/>
    <row r="898" ht="14.25" customHeight="1" s="82"/>
    <row r="899" ht="14.25" customHeight="1" s="82"/>
    <row r="900" ht="14.25" customHeight="1" s="82"/>
    <row r="901" ht="14.25" customHeight="1" s="82"/>
    <row r="902" ht="14.25" customHeight="1" s="82"/>
    <row r="903" ht="14.25" customHeight="1" s="82"/>
    <row r="904" ht="14.25" customHeight="1" s="82"/>
    <row r="905" ht="14.25" customHeight="1" s="82"/>
    <row r="906" ht="14.25" customHeight="1" s="82"/>
    <row r="907" ht="14.25" customHeight="1" s="82"/>
    <row r="908" ht="14.25" customHeight="1" s="82"/>
    <row r="909" ht="14.25" customHeight="1" s="82"/>
    <row r="910" ht="14.25" customHeight="1" s="82"/>
    <row r="911" ht="14.25" customHeight="1" s="82"/>
    <row r="912" ht="14.25" customHeight="1" s="82"/>
    <row r="913" ht="14.25" customHeight="1" s="82"/>
    <row r="914" ht="14.25" customHeight="1" s="82"/>
    <row r="915" ht="14.25" customHeight="1" s="82"/>
    <row r="916" ht="14.25" customHeight="1" s="82"/>
    <row r="917" ht="14.25" customHeight="1" s="82"/>
    <row r="918" ht="14.25" customHeight="1" s="82"/>
    <row r="919" ht="14.25" customHeight="1" s="82"/>
    <row r="920" ht="14.25" customHeight="1" s="82"/>
    <row r="921" ht="14.25" customHeight="1" s="82"/>
    <row r="922" ht="14.25" customHeight="1" s="82"/>
    <row r="923" ht="14.25" customHeight="1" s="82"/>
    <row r="924" ht="14.25" customHeight="1" s="82"/>
    <row r="925" ht="14.25" customHeight="1" s="82"/>
    <row r="926" ht="14.25" customHeight="1" s="82"/>
    <row r="927" ht="14.25" customHeight="1" s="82"/>
    <row r="928" ht="14.25" customHeight="1" s="82"/>
    <row r="929" ht="14.25" customHeight="1" s="82"/>
    <row r="930" ht="14.25" customHeight="1" s="82"/>
    <row r="931" ht="14.25" customHeight="1" s="82"/>
    <row r="932" ht="14.25" customHeight="1" s="82"/>
    <row r="933" ht="14.25" customHeight="1" s="82"/>
    <row r="934" ht="14.25" customHeight="1" s="82"/>
    <row r="935" ht="14.25" customHeight="1" s="82"/>
    <row r="936" ht="14.25" customHeight="1" s="82"/>
    <row r="937" ht="14.25" customHeight="1" s="82"/>
    <row r="938" ht="14.25" customHeight="1" s="82"/>
    <row r="939" ht="14.25" customHeight="1" s="82"/>
    <row r="940" ht="14.25" customHeight="1" s="82"/>
    <row r="941" ht="14.25" customHeight="1" s="82"/>
    <row r="942" ht="14.25" customHeight="1" s="82"/>
    <row r="943" ht="14.25" customHeight="1" s="82"/>
    <row r="944" ht="14.25" customHeight="1" s="82"/>
    <row r="945" ht="14.25" customHeight="1" s="82"/>
    <row r="946" ht="14.25" customHeight="1" s="82"/>
    <row r="947" ht="14.25" customHeight="1" s="82"/>
    <row r="948" ht="14.25" customHeight="1" s="82"/>
    <row r="949" ht="14.25" customHeight="1" s="82"/>
    <row r="950" ht="14.25" customHeight="1" s="82"/>
    <row r="951" ht="14.25" customHeight="1" s="82"/>
    <row r="952" ht="14.25" customHeight="1" s="82"/>
    <row r="953" ht="14.25" customHeight="1" s="82"/>
    <row r="954" ht="14.25" customHeight="1" s="82"/>
    <row r="955" ht="14.25" customHeight="1" s="82"/>
    <row r="956" ht="14.25" customHeight="1" s="82"/>
    <row r="957" ht="14.25" customHeight="1" s="82"/>
    <row r="958" ht="14.25" customHeight="1" s="82"/>
    <row r="959" ht="14.25" customHeight="1" s="82"/>
    <row r="960" ht="14.25" customHeight="1" s="82"/>
    <row r="961" ht="14.25" customHeight="1" s="82"/>
    <row r="962" ht="14.25" customHeight="1" s="82"/>
    <row r="963" ht="14.25" customHeight="1" s="82"/>
    <row r="964" ht="14.25" customHeight="1" s="82"/>
    <row r="965" ht="14.25" customHeight="1" s="82"/>
    <row r="966" ht="14.25" customHeight="1" s="82"/>
    <row r="967" ht="14.25" customHeight="1" s="82"/>
    <row r="968" ht="14.25" customHeight="1" s="82"/>
    <row r="969" ht="14.25" customHeight="1" s="82"/>
    <row r="970" ht="14.25" customHeight="1" s="82"/>
    <row r="971" ht="14.25" customHeight="1" s="82"/>
    <row r="972" ht="14.25" customHeight="1" s="82"/>
    <row r="973" ht="14.25" customHeight="1" s="82"/>
    <row r="974" ht="14.25" customHeight="1" s="82"/>
    <row r="975" ht="14.25" customHeight="1" s="82"/>
    <row r="976" ht="14.25" customHeight="1" s="82"/>
    <row r="977" ht="14.25" customHeight="1" s="82"/>
    <row r="978" ht="14.25" customHeight="1" s="82"/>
    <row r="979" ht="14.25" customHeight="1" s="82"/>
    <row r="980" ht="14.25" customHeight="1" s="82"/>
    <row r="981" ht="14.25" customHeight="1" s="82"/>
    <row r="982" ht="14.25" customHeight="1" s="82"/>
    <row r="983" ht="14.25" customHeight="1" s="82"/>
    <row r="984" ht="14.25" customHeight="1" s="82"/>
    <row r="985" ht="14.25" customHeight="1" s="82"/>
    <row r="986" ht="14.25" customHeight="1" s="82"/>
    <row r="987" ht="14.25" customHeight="1" s="82"/>
    <row r="988" ht="14.25" customHeight="1" s="82"/>
    <row r="989" ht="14.25" customHeight="1" s="82"/>
    <row r="990" ht="14.25" customHeight="1" s="82"/>
    <row r="991" ht="14.25" customHeight="1" s="82"/>
    <row r="992" ht="14.25" customHeight="1" s="82"/>
    <row r="993" ht="14.25" customHeight="1" s="82"/>
    <row r="994" ht="14.25" customHeight="1" s="82"/>
    <row r="995" ht="14.25" customHeight="1" s="82"/>
    <row r="996" ht="14.25" customHeight="1" s="82"/>
    <row r="997" ht="14.25" customHeight="1" s="82"/>
    <row r="998" ht="14.25" customHeight="1" s="82"/>
    <row r="999" ht="14.25" customHeight="1" s="82"/>
    <row r="1000" ht="14.25" customHeight="1" s="82"/>
  </sheetData>
  <mergeCells count="2">
    <mergeCell ref="A1:O1"/>
    <mergeCell ref="A2:O2"/>
  </mergeCells>
  <dataValidations count="1">
    <dataValidation sqref="B4:B53" showDropDown="0" showInputMessage="0" showErrorMessage="1" allowBlank="1" type="list">
      <formula1>"NSE,BSE,NSE/BSE"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2E75B6"/>
    <outlinePr summaryBelow="1" summaryRight="1"/>
    <pageSetUpPr/>
  </sheetPr>
  <dimension ref="A1:Q50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40.71" customWidth="1" style="82" min="1" max="1"/>
    <col width="18.71" customWidth="1" style="82" min="2" max="2"/>
    <col width="20.71" customWidth="1" style="82" min="3" max="3"/>
    <col width="22.71" customWidth="1" style="82" min="4" max="4"/>
    <col width="10.71" customWidth="1" style="82" min="5" max="6"/>
    <col width="12.71" customWidth="1" style="82" min="7" max="8"/>
    <col width="14.71" customWidth="1" style="82" min="9" max="9"/>
    <col width="10.71" customWidth="1" style="82" min="10" max="10"/>
    <col width="14.71" customWidth="1" style="82" min="11" max="12"/>
    <col width="12.71" customWidth="1" style="82" min="13" max="13"/>
    <col width="13.71" customWidth="1" style="82" min="14" max="14"/>
    <col width="14.71" customWidth="1" style="82" min="15" max="15"/>
    <col width="12.71" customWidth="1" style="82" min="16" max="16"/>
    <col width="8.710000000000001" customWidth="1" style="82" min="17" max="26"/>
  </cols>
  <sheetData>
    <row r="1" ht="30" customHeight="1" s="82">
      <c r="A1" s="91" t="inlineStr">
        <is>
          <t>Mutual Fund Holdings — Data Entry</t>
        </is>
      </c>
    </row>
    <row r="2" ht="36" customHeight="1" s="82">
      <c r="A2" s="92" t="inlineStr">
        <is>
          <t>🔵 Fill BLUE columns only (A–J). Columns K–P are auto-calculated. Enter benchmark 1Y return as a number (e.g. 15 for 15%). Get current NAV from AMC site / MFCentral / CAMS.</t>
        </is>
      </c>
    </row>
    <row r="3" ht="30" customHeight="1" s="82">
      <c r="A3" s="33" t="inlineStr">
        <is>
          <t>Fund Name</t>
        </is>
      </c>
      <c r="B3" s="33" t="inlineStr">
        <is>
          <t>AMC</t>
        </is>
      </c>
      <c r="C3" s="33" t="inlineStr">
        <is>
          <t>Category</t>
        </is>
      </c>
      <c r="D3" s="33" t="inlineStr">
        <is>
          <t>Sub-Category
(Large/Mid/Small/Hybrid/Debt)</t>
        </is>
      </c>
      <c r="E3" s="33" t="inlineStr">
        <is>
          <t>Units
Held</t>
        </is>
      </c>
      <c r="F3" s="33" t="inlineStr">
        <is>
          <t>Buy NAV
(₹)</t>
        </is>
      </c>
      <c r="G3" s="33" t="inlineStr">
        <is>
          <t>Buy Date
(DD-MM-YYYY)</t>
        </is>
      </c>
      <c r="H3" s="33" t="inlineStr">
        <is>
          <t>Current
NAV (₹)</t>
        </is>
      </c>
      <c r="I3" s="33" t="inlineStr">
        <is>
          <t>Benchmark
1Y Return %</t>
        </is>
      </c>
      <c r="J3" s="33" t="inlineStr">
        <is>
          <t>Expense
Ratio %</t>
        </is>
      </c>
      <c r="K3" s="33" t="inlineStr">
        <is>
          <t>Invested
Value (₹)</t>
        </is>
      </c>
      <c r="L3" s="33" t="inlineStr">
        <is>
          <t>Current
Value (₹)</t>
        </is>
      </c>
      <c r="M3" s="33" t="inlineStr">
        <is>
          <t>P&amp;L (₹)</t>
        </is>
      </c>
      <c r="N3" s="33" t="inlineStr">
        <is>
          <t>Absolute
Return %</t>
        </is>
      </c>
      <c r="O3" s="33" t="inlineStr">
        <is>
          <t>CAGR
(Annualised) %</t>
        </is>
      </c>
      <c r="P3" s="33" t="inlineStr">
        <is>
          <t>Portfolio
Weight %</t>
        </is>
      </c>
      <c r="Q3" s="93" t="inlineStr">
        <is>
          <t>Tax Flag</t>
        </is>
      </c>
    </row>
    <row r="4" ht="16.5" customHeight="1" s="82">
      <c r="A4" s="37" t="n"/>
      <c r="B4" s="37" t="n"/>
      <c r="C4" s="37" t="n"/>
      <c r="D4" s="37" t="n"/>
      <c r="E4" s="41" t="n"/>
      <c r="F4" s="54" t="n"/>
      <c r="G4" s="40" t="n"/>
      <c r="H4" s="54" t="n"/>
      <c r="I4" s="41" t="n"/>
      <c r="J4" s="41" t="n"/>
      <c r="K4" s="42">
        <f>IFERROR(E4*F4,"")</f>
        <v/>
      </c>
      <c r="L4" s="42">
        <f>IFERROR(E4*H4,"")</f>
        <v/>
      </c>
      <c r="M4" s="42">
        <f>IFERROR(L4-K4,"")</f>
        <v/>
      </c>
      <c r="N4" s="43">
        <f>IFERROR((L4-K4)/K4,"")</f>
        <v/>
      </c>
      <c r="O4" s="43">
        <f>IFERROR(IF(G4="","",((H4/F4)^(365/MAX(1,TODAY()-G4))-1)),"")</f>
        <v/>
      </c>
      <c r="P4" s="43">
        <f>IFERROR(L4/SUM($L$4:$L$43),"")</f>
        <v/>
      </c>
      <c r="Q4">
        <f>IF(ISBLANK(G4), "", IF(TODAY()-G4&gt;365, "LTCG", "STCG"))</f>
        <v/>
      </c>
    </row>
    <row r="5" ht="16.5" customHeight="1" s="82">
      <c r="A5" s="46" t="n"/>
      <c r="B5" s="46" t="n"/>
      <c r="C5" s="46" t="n"/>
      <c r="D5" s="46" t="n"/>
      <c r="E5" s="50" t="n"/>
      <c r="F5" s="53" t="n"/>
      <c r="G5" s="49" t="n"/>
      <c r="H5" s="53" t="n"/>
      <c r="I5" s="50" t="n"/>
      <c r="J5" s="50" t="n"/>
      <c r="K5" s="51">
        <f>IFERROR(E5*F5,"")</f>
        <v/>
      </c>
      <c r="L5" s="51">
        <f>IFERROR(E5*H5,"")</f>
        <v/>
      </c>
      <c r="M5" s="51">
        <f>IFERROR(L5-K5,"")</f>
        <v/>
      </c>
      <c r="N5" s="52">
        <f>IFERROR((L5-K5)/K5,"")</f>
        <v/>
      </c>
      <c r="O5" s="52">
        <f>IFERROR(IF(G5="","",((H5/F5)^(365/MAX(1,TODAY()-G5))-1)),"")</f>
        <v/>
      </c>
      <c r="P5" s="52">
        <f>IFERROR(L5/SUM($L$4:$L$43),"")</f>
        <v/>
      </c>
      <c r="Q5">
        <f>IF(ISBLANK(G5), "", IF(TODAY()-G5&gt;365, "LTCG", "STCG"))</f>
        <v/>
      </c>
    </row>
    <row r="6" ht="16.5" customHeight="1" s="82">
      <c r="A6" s="37" t="n"/>
      <c r="B6" s="37" t="n"/>
      <c r="C6" s="37" t="n"/>
      <c r="D6" s="37" t="n"/>
      <c r="E6" s="41" t="n"/>
      <c r="F6" s="54" t="n"/>
      <c r="G6" s="40" t="n"/>
      <c r="H6" s="54" t="n"/>
      <c r="I6" s="41" t="n"/>
      <c r="J6" s="41" t="n"/>
      <c r="K6" s="42">
        <f>IFERROR(E6*F6,"")</f>
        <v/>
      </c>
      <c r="L6" s="42">
        <f>IFERROR(E6*H6,"")</f>
        <v/>
      </c>
      <c r="M6" s="42">
        <f>IFERROR(L6-K6,"")</f>
        <v/>
      </c>
      <c r="N6" s="43">
        <f>IFERROR((L6-K6)/K6,"")</f>
        <v/>
      </c>
      <c r="O6" s="43">
        <f>IFERROR(IF(G6="","",((H6/F6)^(365/MAX(1,TODAY()-G6))-1)),"")</f>
        <v/>
      </c>
      <c r="P6" s="43">
        <f>IFERROR(L6/SUM($L$4:$L$43),"")</f>
        <v/>
      </c>
      <c r="Q6">
        <f>IF(ISBLANK(G6), "", IF(TODAY()-G6&gt;365, "LTCG", "STCG"))</f>
        <v/>
      </c>
    </row>
    <row r="7" ht="16.5" customHeight="1" s="82">
      <c r="A7" s="46" t="n"/>
      <c r="B7" s="46" t="n"/>
      <c r="C7" s="46" t="n"/>
      <c r="D7" s="46" t="n"/>
      <c r="E7" s="50" t="n"/>
      <c r="F7" s="53" t="n"/>
      <c r="G7" s="49" t="n"/>
      <c r="H7" s="53" t="n"/>
      <c r="I7" s="50" t="n"/>
      <c r="J7" s="50" t="n"/>
      <c r="K7" s="51">
        <f>IFERROR(E7*F7,"")</f>
        <v/>
      </c>
      <c r="L7" s="51">
        <f>IFERROR(E7*H7,"")</f>
        <v/>
      </c>
      <c r="M7" s="51">
        <f>IFERROR(L7-K7,"")</f>
        <v/>
      </c>
      <c r="N7" s="52">
        <f>IFERROR((L7-K7)/K7,"")</f>
        <v/>
      </c>
      <c r="O7" s="52">
        <f>IFERROR(IF(G7="","",((H7/F7)^(365/MAX(1,TODAY()-G7))-1)),"")</f>
        <v/>
      </c>
      <c r="P7" s="52">
        <f>IFERROR(L7/SUM($L$4:$L$43),"")</f>
        <v/>
      </c>
      <c r="Q7">
        <f>IF(ISBLANK(G7), "", IF(TODAY()-G7&gt;365, "LTCG", "STCG"))</f>
        <v/>
      </c>
    </row>
    <row r="8" ht="16.5" customHeight="1" s="82">
      <c r="A8" s="37" t="n"/>
      <c r="B8" s="37" t="n"/>
      <c r="C8" s="37" t="n"/>
      <c r="D8" s="37" t="n"/>
      <c r="E8" s="41" t="n"/>
      <c r="F8" s="54" t="n"/>
      <c r="G8" s="40" t="n"/>
      <c r="H8" s="54" t="n"/>
      <c r="I8" s="41" t="n"/>
      <c r="J8" s="41" t="n"/>
      <c r="K8" s="42">
        <f>IFERROR(E8*F8,"")</f>
        <v/>
      </c>
      <c r="L8" s="42">
        <f>IFERROR(E8*H8,"")</f>
        <v/>
      </c>
      <c r="M8" s="42">
        <f>IFERROR(L8-K8,"")</f>
        <v/>
      </c>
      <c r="N8" s="43">
        <f>IFERROR((L8-K8)/K8,"")</f>
        <v/>
      </c>
      <c r="O8" s="43">
        <f>IFERROR(IF(G8="","",((H8/F8)^(365/MAX(1,TODAY()-G8))-1)),"")</f>
        <v/>
      </c>
      <c r="P8" s="43">
        <f>IFERROR(L8/SUM($L$4:$L$43),"")</f>
        <v/>
      </c>
      <c r="Q8">
        <f>IF(ISBLANK(G8), "", IF(TODAY()-G8&gt;365, "LTCG", "STCG"))</f>
        <v/>
      </c>
    </row>
    <row r="9" ht="16.5" customHeight="1" s="82">
      <c r="A9" s="46" t="n"/>
      <c r="B9" s="46" t="n"/>
      <c r="C9" s="46" t="n"/>
      <c r="D9" s="46" t="n"/>
      <c r="E9" s="50" t="n"/>
      <c r="F9" s="53" t="n"/>
      <c r="G9" s="49" t="n"/>
      <c r="H9" s="53" t="n"/>
      <c r="I9" s="50" t="n"/>
      <c r="J9" s="50" t="n"/>
      <c r="K9" s="51">
        <f>IFERROR(E9*F9,"")</f>
        <v/>
      </c>
      <c r="L9" s="51">
        <f>IFERROR(E9*H9,"")</f>
        <v/>
      </c>
      <c r="M9" s="51">
        <f>IFERROR(L9-K9,"")</f>
        <v/>
      </c>
      <c r="N9" s="52">
        <f>IFERROR((L9-K9)/K9,"")</f>
        <v/>
      </c>
      <c r="O9" s="52">
        <f>IFERROR(IF(G9="","",((H9/F9)^(365/MAX(1,TODAY()-G9))-1)),"")</f>
        <v/>
      </c>
      <c r="P9" s="52">
        <f>IFERROR(L9/SUM($L$4:$L$43),"")</f>
        <v/>
      </c>
      <c r="Q9">
        <f>IF(ISBLANK(G9), "", IF(TODAY()-G9&gt;365, "LTCG", "STCG"))</f>
        <v/>
      </c>
    </row>
    <row r="10" ht="16.5" customHeight="1" s="82">
      <c r="A10" s="37" t="n"/>
      <c r="B10" s="37" t="n"/>
      <c r="C10" s="37" t="n"/>
      <c r="D10" s="37" t="n"/>
      <c r="E10" s="41" t="n"/>
      <c r="F10" s="54" t="n"/>
      <c r="G10" s="40" t="n"/>
      <c r="H10" s="54" t="n"/>
      <c r="I10" s="41" t="n"/>
      <c r="J10" s="41" t="n"/>
      <c r="K10" s="42">
        <f>IFERROR(E10*F10,"")</f>
        <v/>
      </c>
      <c r="L10" s="42">
        <f>IFERROR(E10*H10,"")</f>
        <v/>
      </c>
      <c r="M10" s="42">
        <f>IFERROR(L10-K10,"")</f>
        <v/>
      </c>
      <c r="N10" s="43">
        <f>IFERROR((L10-K10)/K10,"")</f>
        <v/>
      </c>
      <c r="O10" s="43">
        <f>IFERROR(IF(G10="","",((H10/F10)^(365/MAX(1,TODAY()-G10))-1)),"")</f>
        <v/>
      </c>
      <c r="P10" s="43">
        <f>IFERROR(L10/SUM($L$4:$L$43),"")</f>
        <v/>
      </c>
      <c r="Q10">
        <f>IF(ISBLANK(G10), "", IF(TODAY()-G10&gt;365, "LTCG", "STCG"))</f>
        <v/>
      </c>
    </row>
    <row r="11" ht="16.5" customHeight="1" s="82">
      <c r="A11" s="46" t="n"/>
      <c r="B11" s="46" t="n"/>
      <c r="C11" s="46" t="n"/>
      <c r="D11" s="46" t="n"/>
      <c r="E11" s="50" t="n"/>
      <c r="F11" s="53" t="n"/>
      <c r="G11" s="49" t="n"/>
      <c r="H11" s="53" t="n"/>
      <c r="I11" s="50" t="n"/>
      <c r="J11" s="50" t="n"/>
      <c r="K11" s="51">
        <f>IFERROR(E11*F11,"")</f>
        <v/>
      </c>
      <c r="L11" s="51">
        <f>IFERROR(E11*H11,"")</f>
        <v/>
      </c>
      <c r="M11" s="51">
        <f>IFERROR(L11-K11,"")</f>
        <v/>
      </c>
      <c r="N11" s="52">
        <f>IFERROR((L11-K11)/K11,"")</f>
        <v/>
      </c>
      <c r="O11" s="52">
        <f>IFERROR(IF(G11="","",((H11/F11)^(365/MAX(1,TODAY()-G11))-1)),"")</f>
        <v/>
      </c>
      <c r="P11" s="52">
        <f>IFERROR(L11/SUM($L$4:$L$43),"")</f>
        <v/>
      </c>
      <c r="Q11">
        <f>IF(ISBLANK(G11), "", IF(TODAY()-G11&gt;365, "LTCG", "STCG"))</f>
        <v/>
      </c>
    </row>
    <row r="12" ht="16.5" customHeight="1" s="82">
      <c r="A12" s="37" t="n"/>
      <c r="B12" s="37" t="n"/>
      <c r="C12" s="37" t="n"/>
      <c r="D12" s="37" t="n"/>
      <c r="E12" s="41" t="n"/>
      <c r="F12" s="54" t="n"/>
      <c r="G12" s="40" t="n"/>
      <c r="H12" s="54" t="n"/>
      <c r="I12" s="41" t="n"/>
      <c r="J12" s="41" t="n"/>
      <c r="K12" s="42">
        <f>IFERROR(E12*F12,"")</f>
        <v/>
      </c>
      <c r="L12" s="42">
        <f>IFERROR(E12*H12,"")</f>
        <v/>
      </c>
      <c r="M12" s="42">
        <f>IFERROR(L12-K12,"")</f>
        <v/>
      </c>
      <c r="N12" s="43">
        <f>IFERROR((L12-K12)/K12,"")</f>
        <v/>
      </c>
      <c r="O12" s="43">
        <f>IFERROR(IF(G12="","",((H12/F12)^(365/MAX(1,TODAY()-G12))-1)),"")</f>
        <v/>
      </c>
      <c r="P12" s="43">
        <f>IFERROR(L12/SUM($L$4:$L$43),"")</f>
        <v/>
      </c>
      <c r="Q12">
        <f>IF(ISBLANK(G12), "", IF(TODAY()-G12&gt;365, "LTCG", "STCG"))</f>
        <v/>
      </c>
    </row>
    <row r="13" ht="16.5" customHeight="1" s="82">
      <c r="A13" s="46" t="n"/>
      <c r="B13" s="46" t="n"/>
      <c r="C13" s="46" t="n"/>
      <c r="D13" s="46" t="n"/>
      <c r="E13" s="50" t="n"/>
      <c r="F13" s="53" t="n"/>
      <c r="G13" s="49" t="n"/>
      <c r="H13" s="53" t="n"/>
      <c r="I13" s="50" t="n"/>
      <c r="J13" s="50" t="n"/>
      <c r="K13" s="51">
        <f>IFERROR(E13*F13,"")</f>
        <v/>
      </c>
      <c r="L13" s="51">
        <f>IFERROR(E13*H13,"")</f>
        <v/>
      </c>
      <c r="M13" s="51">
        <f>IFERROR(L13-K13,"")</f>
        <v/>
      </c>
      <c r="N13" s="52">
        <f>IFERROR((L13-K13)/K13,"")</f>
        <v/>
      </c>
      <c r="O13" s="52">
        <f>IFERROR(IF(G13="","",((H13/F13)^(365/MAX(1,TODAY()-G13))-1)),"")</f>
        <v/>
      </c>
      <c r="P13" s="52">
        <f>IFERROR(L13/SUM($L$4:$L$43),"")</f>
        <v/>
      </c>
      <c r="Q13">
        <f>IF(ISBLANK(G13), "", IF(TODAY()-G13&gt;365, "LTCG", "STCG"))</f>
        <v/>
      </c>
    </row>
    <row r="14" ht="16.5" customHeight="1" s="82">
      <c r="A14" s="37" t="n"/>
      <c r="B14" s="37" t="n"/>
      <c r="C14" s="37" t="n"/>
      <c r="D14" s="37" t="n"/>
      <c r="E14" s="41" t="n"/>
      <c r="F14" s="54" t="n"/>
      <c r="G14" s="40" t="n"/>
      <c r="H14" s="54" t="n"/>
      <c r="I14" s="41" t="n"/>
      <c r="J14" s="41" t="n"/>
      <c r="K14" s="42">
        <f>IFERROR(E14*F14,"")</f>
        <v/>
      </c>
      <c r="L14" s="42">
        <f>IFERROR(E14*H14,"")</f>
        <v/>
      </c>
      <c r="M14" s="42">
        <f>IFERROR(L14-K14,"")</f>
        <v/>
      </c>
      <c r="N14" s="43">
        <f>IFERROR((L14-K14)/K14,"")</f>
        <v/>
      </c>
      <c r="O14" s="43">
        <f>IFERROR(IF(G14="","",((H14/F14)^(365/MAX(1,TODAY()-G14))-1)),"")</f>
        <v/>
      </c>
      <c r="P14" s="43">
        <f>IFERROR(L14/SUM($L$4:$L$43),"")</f>
        <v/>
      </c>
      <c r="Q14">
        <f>IF(ISBLANK(G14), "", IF(TODAY()-G14&gt;365, "LTCG", "STCG"))</f>
        <v/>
      </c>
    </row>
    <row r="15" ht="16.5" customHeight="1" s="82">
      <c r="A15" s="46" t="n"/>
      <c r="B15" s="46" t="n"/>
      <c r="C15" s="46" t="n"/>
      <c r="D15" s="46" t="n"/>
      <c r="E15" s="50" t="n"/>
      <c r="F15" s="53" t="n"/>
      <c r="G15" s="49" t="n"/>
      <c r="H15" s="53" t="n"/>
      <c r="I15" s="50" t="n"/>
      <c r="J15" s="50" t="n"/>
      <c r="K15" s="51">
        <f>IFERROR(E15*F15,"")</f>
        <v/>
      </c>
      <c r="L15" s="51">
        <f>IFERROR(E15*H15,"")</f>
        <v/>
      </c>
      <c r="M15" s="51">
        <f>IFERROR(L15-K15,"")</f>
        <v/>
      </c>
      <c r="N15" s="52">
        <f>IFERROR((L15-K15)/K15,"")</f>
        <v/>
      </c>
      <c r="O15" s="52">
        <f>IFERROR(IF(G15="","",((H15/F15)^(365/MAX(1,TODAY()-G15))-1)),"")</f>
        <v/>
      </c>
      <c r="P15" s="52">
        <f>IFERROR(L15/SUM($L$4:$L$43),"")</f>
        <v/>
      </c>
      <c r="Q15">
        <f>IF(ISBLANK(G15), "", IF(TODAY()-G15&gt;365, "LTCG", "STCG"))</f>
        <v/>
      </c>
    </row>
    <row r="16" ht="16.5" customHeight="1" s="82">
      <c r="A16" s="37" t="n"/>
      <c r="B16" s="37" t="n"/>
      <c r="C16" s="37" t="n"/>
      <c r="D16" s="37" t="n"/>
      <c r="E16" s="41" t="n"/>
      <c r="F16" s="54" t="n"/>
      <c r="G16" s="40" t="n"/>
      <c r="H16" s="54" t="n"/>
      <c r="I16" s="41" t="n"/>
      <c r="J16" s="41" t="n"/>
      <c r="K16" s="42">
        <f>IFERROR(E16*F16,"")</f>
        <v/>
      </c>
      <c r="L16" s="42">
        <f>IFERROR(E16*H16,"")</f>
        <v/>
      </c>
      <c r="M16" s="42">
        <f>IFERROR(L16-K16,"")</f>
        <v/>
      </c>
      <c r="N16" s="43">
        <f>IFERROR((L16-K16)/K16,"")</f>
        <v/>
      </c>
      <c r="O16" s="43">
        <f>IFERROR(IF(G16="","",((H16/F16)^(365/MAX(1,TODAY()-G16))-1)),"")</f>
        <v/>
      </c>
      <c r="P16" s="43">
        <f>IFERROR(L16/SUM($L$4:$L$43),"")</f>
        <v/>
      </c>
      <c r="Q16">
        <f>IF(ISBLANK(G16), "", IF(TODAY()-G16&gt;365, "LTCG", "STCG"))</f>
        <v/>
      </c>
    </row>
    <row r="17" ht="16.5" customHeight="1" s="82">
      <c r="A17" s="46" t="n"/>
      <c r="B17" s="46" t="n"/>
      <c r="C17" s="46" t="n"/>
      <c r="D17" s="46" t="n"/>
      <c r="E17" s="50" t="n"/>
      <c r="F17" s="53" t="n"/>
      <c r="G17" s="49" t="n"/>
      <c r="H17" s="53" t="n"/>
      <c r="I17" s="50" t="n"/>
      <c r="J17" s="50" t="n"/>
      <c r="K17" s="51">
        <f>IFERROR(E17*F17,"")</f>
        <v/>
      </c>
      <c r="L17" s="51">
        <f>IFERROR(E17*H17,"")</f>
        <v/>
      </c>
      <c r="M17" s="51">
        <f>IFERROR(L17-K17,"")</f>
        <v/>
      </c>
      <c r="N17" s="52">
        <f>IFERROR((L17-K17)/K17,"")</f>
        <v/>
      </c>
      <c r="O17" s="52">
        <f>IFERROR(IF(G17="","",((H17/F17)^(365/MAX(1,TODAY()-G17))-1)),"")</f>
        <v/>
      </c>
      <c r="P17" s="52">
        <f>IFERROR(L17/SUM($L$4:$L$43),"")</f>
        <v/>
      </c>
      <c r="Q17">
        <f>IF(ISBLANK(G17), "", IF(TODAY()-G17&gt;365, "LTCG", "STCG"))</f>
        <v/>
      </c>
    </row>
    <row r="18" ht="16.5" customHeight="1" s="82">
      <c r="A18" s="37" t="n"/>
      <c r="B18" s="37" t="n"/>
      <c r="C18" s="37" t="n"/>
      <c r="D18" s="37" t="n"/>
      <c r="E18" s="41" t="n"/>
      <c r="F18" s="54" t="n"/>
      <c r="G18" s="40" t="n"/>
      <c r="H18" s="54" t="n"/>
      <c r="I18" s="41" t="n"/>
      <c r="J18" s="41" t="n"/>
      <c r="K18" s="42">
        <f>IFERROR(E18*F18,"")</f>
        <v/>
      </c>
      <c r="L18" s="42">
        <f>IFERROR(E18*H18,"")</f>
        <v/>
      </c>
      <c r="M18" s="42">
        <f>IFERROR(L18-K18,"")</f>
        <v/>
      </c>
      <c r="N18" s="43">
        <f>IFERROR((L18-K18)/K18,"")</f>
        <v/>
      </c>
      <c r="O18" s="43">
        <f>IFERROR(IF(G18="","",((H18/F18)^(365/MAX(1,TODAY()-G18))-1)),"")</f>
        <v/>
      </c>
      <c r="P18" s="43">
        <f>IFERROR(L18/SUM($L$4:$L$43),"")</f>
        <v/>
      </c>
      <c r="Q18">
        <f>IF(ISBLANK(G18), "", IF(TODAY()-G18&gt;365, "LTCG", "STCG"))</f>
        <v/>
      </c>
    </row>
    <row r="19" ht="16.5" customHeight="1" s="82">
      <c r="A19" s="46" t="n"/>
      <c r="B19" s="46" t="n"/>
      <c r="C19" s="46" t="n"/>
      <c r="D19" s="46" t="n"/>
      <c r="E19" s="50" t="n"/>
      <c r="F19" s="53" t="n"/>
      <c r="G19" s="49" t="n"/>
      <c r="H19" s="53" t="n"/>
      <c r="I19" s="50" t="n"/>
      <c r="J19" s="50" t="n"/>
      <c r="K19" s="51">
        <f>IFERROR(E19*F19,"")</f>
        <v/>
      </c>
      <c r="L19" s="51">
        <f>IFERROR(E19*H19,"")</f>
        <v/>
      </c>
      <c r="M19" s="51">
        <f>IFERROR(L19-K19,"")</f>
        <v/>
      </c>
      <c r="N19" s="52">
        <f>IFERROR((L19-K19)/K19,"")</f>
        <v/>
      </c>
      <c r="O19" s="52">
        <f>IFERROR(IF(G19="","",((H19/F19)^(365/MAX(1,TODAY()-G19))-1)),"")</f>
        <v/>
      </c>
      <c r="P19" s="52">
        <f>IFERROR(L19/SUM($L$4:$L$43),"")</f>
        <v/>
      </c>
      <c r="Q19">
        <f>IF(ISBLANK(G19), "", IF(TODAY()-G19&gt;365, "LTCG", "STCG"))</f>
        <v/>
      </c>
    </row>
    <row r="20" ht="16.5" customHeight="1" s="82">
      <c r="A20" s="37" t="n"/>
      <c r="B20" s="37" t="n"/>
      <c r="C20" s="37" t="n"/>
      <c r="D20" s="37" t="n"/>
      <c r="E20" s="41" t="n"/>
      <c r="F20" s="54" t="n"/>
      <c r="G20" s="40" t="n"/>
      <c r="H20" s="54" t="n"/>
      <c r="I20" s="41" t="n"/>
      <c r="J20" s="41" t="n"/>
      <c r="K20" s="42">
        <f>IFERROR(E20*F20,"")</f>
        <v/>
      </c>
      <c r="L20" s="42">
        <f>IFERROR(E20*H20,"")</f>
        <v/>
      </c>
      <c r="M20" s="42">
        <f>IFERROR(L20-K20,"")</f>
        <v/>
      </c>
      <c r="N20" s="43">
        <f>IFERROR((L20-K20)/K20,"")</f>
        <v/>
      </c>
      <c r="O20" s="43">
        <f>IFERROR(IF(G20="","",((H20/F20)^(365/MAX(1,TODAY()-G20))-1)),"")</f>
        <v/>
      </c>
      <c r="P20" s="43">
        <f>IFERROR(L20/SUM($L$4:$L$43),"")</f>
        <v/>
      </c>
      <c r="Q20">
        <f>IF(ISBLANK(G20), "", IF(TODAY()-G20&gt;365, "LTCG", "STCG"))</f>
        <v/>
      </c>
    </row>
    <row r="21" ht="16.5" customHeight="1" s="82">
      <c r="A21" s="46" t="n"/>
      <c r="B21" s="46" t="n"/>
      <c r="C21" s="46" t="n"/>
      <c r="D21" s="46" t="n"/>
      <c r="E21" s="50" t="n"/>
      <c r="F21" s="53" t="n"/>
      <c r="G21" s="49" t="n"/>
      <c r="H21" s="53" t="n"/>
      <c r="I21" s="50" t="n"/>
      <c r="J21" s="50" t="n"/>
      <c r="K21" s="51">
        <f>IFERROR(E21*F21,"")</f>
        <v/>
      </c>
      <c r="L21" s="51">
        <f>IFERROR(E21*H21,"")</f>
        <v/>
      </c>
      <c r="M21" s="51">
        <f>IFERROR(L21-K21,"")</f>
        <v/>
      </c>
      <c r="N21" s="52">
        <f>IFERROR((L21-K21)/K21,"")</f>
        <v/>
      </c>
      <c r="O21" s="52">
        <f>IFERROR(IF(G21="","",((H21/F21)^(365/MAX(1,TODAY()-G21))-1)),"")</f>
        <v/>
      </c>
      <c r="P21" s="52">
        <f>IFERROR(L21/SUM($L$4:$L$43),"")</f>
        <v/>
      </c>
      <c r="Q21">
        <f>IF(ISBLANK(G21), "", IF(TODAY()-G21&gt;365, "LTCG", "STCG"))</f>
        <v/>
      </c>
    </row>
    <row r="22" ht="16.5" customHeight="1" s="82">
      <c r="A22" s="37" t="n"/>
      <c r="B22" s="37" t="n"/>
      <c r="C22" s="37" t="n"/>
      <c r="D22" s="37" t="n"/>
      <c r="E22" s="41" t="n"/>
      <c r="F22" s="54" t="n"/>
      <c r="G22" s="40" t="n"/>
      <c r="H22" s="54" t="n"/>
      <c r="I22" s="41" t="n"/>
      <c r="J22" s="41" t="n"/>
      <c r="K22" s="42">
        <f>IFERROR(E22*F22,"")</f>
        <v/>
      </c>
      <c r="L22" s="42">
        <f>IFERROR(E22*H22,"")</f>
        <v/>
      </c>
      <c r="M22" s="42">
        <f>IFERROR(L22-K22,"")</f>
        <v/>
      </c>
      <c r="N22" s="43">
        <f>IFERROR((L22-K22)/K22,"")</f>
        <v/>
      </c>
      <c r="O22" s="43">
        <f>IFERROR(IF(G22="","",((H22/F22)^(365/MAX(1,TODAY()-G22))-1)),"")</f>
        <v/>
      </c>
      <c r="P22" s="43">
        <f>IFERROR(L22/SUM($L$4:$L$43),"")</f>
        <v/>
      </c>
      <c r="Q22">
        <f>IF(ISBLANK(G22), "", IF(TODAY()-G22&gt;365, "LTCG", "STCG"))</f>
        <v/>
      </c>
    </row>
    <row r="23" ht="16.5" customHeight="1" s="82">
      <c r="A23" s="46" t="n"/>
      <c r="B23" s="46" t="n"/>
      <c r="C23" s="46" t="n"/>
      <c r="D23" s="46" t="n"/>
      <c r="E23" s="50" t="n"/>
      <c r="F23" s="53" t="n"/>
      <c r="G23" s="49" t="n"/>
      <c r="H23" s="53" t="n"/>
      <c r="I23" s="50" t="n"/>
      <c r="J23" s="50" t="n"/>
      <c r="K23" s="51">
        <f>IFERROR(E23*F23,"")</f>
        <v/>
      </c>
      <c r="L23" s="51">
        <f>IFERROR(E23*H23,"")</f>
        <v/>
      </c>
      <c r="M23" s="51">
        <f>IFERROR(L23-K23,"")</f>
        <v/>
      </c>
      <c r="N23" s="52">
        <f>IFERROR((L23-K23)/K23,"")</f>
        <v/>
      </c>
      <c r="O23" s="52">
        <f>IFERROR(IF(G23="","",((H23/F23)^(365/MAX(1,TODAY()-G23))-1)),"")</f>
        <v/>
      </c>
      <c r="P23" s="52">
        <f>IFERROR(L23/SUM($L$4:$L$43),"")</f>
        <v/>
      </c>
      <c r="Q23">
        <f>IF(ISBLANK(G23), "", IF(TODAY()-G23&gt;365, "LTCG", "STCG"))</f>
        <v/>
      </c>
    </row>
    <row r="24" ht="16.5" customHeight="1" s="82">
      <c r="A24" s="37" t="n"/>
      <c r="B24" s="37" t="n"/>
      <c r="C24" s="37" t="n"/>
      <c r="D24" s="37" t="n"/>
      <c r="E24" s="41" t="n"/>
      <c r="F24" s="54" t="n"/>
      <c r="G24" s="40" t="n"/>
      <c r="H24" s="54" t="n"/>
      <c r="I24" s="41" t="n"/>
      <c r="J24" s="41" t="n"/>
      <c r="K24" s="42">
        <f>IFERROR(E24*F24,"")</f>
        <v/>
      </c>
      <c r="L24" s="42">
        <f>IFERROR(E24*H24,"")</f>
        <v/>
      </c>
      <c r="M24" s="42">
        <f>IFERROR(L24-K24,"")</f>
        <v/>
      </c>
      <c r="N24" s="43">
        <f>IFERROR((L24-K24)/K24,"")</f>
        <v/>
      </c>
      <c r="O24" s="43">
        <f>IFERROR(IF(G24="","",((H24/F24)^(365/MAX(1,TODAY()-G24))-1)),"")</f>
        <v/>
      </c>
      <c r="P24" s="43">
        <f>IFERROR(L24/SUM($L$4:$L$43),"")</f>
        <v/>
      </c>
      <c r="Q24">
        <f>IF(ISBLANK(G24), "", IF(TODAY()-G24&gt;365, "LTCG", "STCG"))</f>
        <v/>
      </c>
    </row>
    <row r="25" ht="16.5" customHeight="1" s="82">
      <c r="A25" s="46" t="n"/>
      <c r="B25" s="46" t="n"/>
      <c r="C25" s="46" t="n"/>
      <c r="D25" s="46" t="n"/>
      <c r="E25" s="50" t="n"/>
      <c r="F25" s="53" t="n"/>
      <c r="G25" s="49" t="n"/>
      <c r="H25" s="53" t="n"/>
      <c r="I25" s="50" t="n"/>
      <c r="J25" s="50" t="n"/>
      <c r="K25" s="51">
        <f>IFERROR(E25*F25,"")</f>
        <v/>
      </c>
      <c r="L25" s="51">
        <f>IFERROR(E25*H25,"")</f>
        <v/>
      </c>
      <c r="M25" s="51">
        <f>IFERROR(L25-K25,"")</f>
        <v/>
      </c>
      <c r="N25" s="52">
        <f>IFERROR((L25-K25)/K25,"")</f>
        <v/>
      </c>
      <c r="O25" s="52">
        <f>IFERROR(IF(G25="","",((H25/F25)^(365/MAX(1,TODAY()-G25))-1)),"")</f>
        <v/>
      </c>
      <c r="P25" s="52">
        <f>IFERROR(L25/SUM($L$4:$L$43),"")</f>
        <v/>
      </c>
      <c r="Q25">
        <f>IF(ISBLANK(G25), "", IF(TODAY()-G25&gt;365, "LTCG", "STCG"))</f>
        <v/>
      </c>
    </row>
    <row r="26" ht="16.5" customHeight="1" s="82">
      <c r="A26" s="37" t="n"/>
      <c r="B26" s="37" t="n"/>
      <c r="C26" s="37" t="n"/>
      <c r="D26" s="37" t="n"/>
      <c r="E26" s="41" t="n"/>
      <c r="F26" s="54" t="n"/>
      <c r="G26" s="40" t="n"/>
      <c r="H26" s="54" t="n"/>
      <c r="I26" s="41" t="n"/>
      <c r="J26" s="41" t="n"/>
      <c r="K26" s="42">
        <f>IFERROR(E26*F26,"")</f>
        <v/>
      </c>
      <c r="L26" s="42">
        <f>IFERROR(E26*H26,"")</f>
        <v/>
      </c>
      <c r="M26" s="42">
        <f>IFERROR(L26-K26,"")</f>
        <v/>
      </c>
      <c r="N26" s="43">
        <f>IFERROR((L26-K26)/K26,"")</f>
        <v/>
      </c>
      <c r="O26" s="43">
        <f>IFERROR(IF(G26="","",((H26/F26)^(365/MAX(1,TODAY()-G26))-1)),"")</f>
        <v/>
      </c>
      <c r="P26" s="43">
        <f>IFERROR(L26/SUM($L$4:$L$43),"")</f>
        <v/>
      </c>
      <c r="Q26">
        <f>IF(ISBLANK(G26), "", IF(TODAY()-G26&gt;365, "LTCG", "STCG"))</f>
        <v/>
      </c>
    </row>
    <row r="27" ht="16.5" customHeight="1" s="82">
      <c r="A27" s="46" t="n"/>
      <c r="B27" s="46" t="n"/>
      <c r="C27" s="46" t="n"/>
      <c r="D27" s="46" t="n"/>
      <c r="E27" s="50" t="n"/>
      <c r="F27" s="53" t="n"/>
      <c r="G27" s="49" t="n"/>
      <c r="H27" s="53" t="n"/>
      <c r="I27" s="50" t="n"/>
      <c r="J27" s="50" t="n"/>
      <c r="K27" s="51">
        <f>IFERROR(E27*F27,"")</f>
        <v/>
      </c>
      <c r="L27" s="51">
        <f>IFERROR(E27*H27,"")</f>
        <v/>
      </c>
      <c r="M27" s="51">
        <f>IFERROR(L27-K27,"")</f>
        <v/>
      </c>
      <c r="N27" s="52">
        <f>IFERROR((L27-K27)/K27,"")</f>
        <v/>
      </c>
      <c r="O27" s="52">
        <f>IFERROR(IF(G27="","",((H27/F27)^(365/MAX(1,TODAY()-G27))-1)),"")</f>
        <v/>
      </c>
      <c r="P27" s="52">
        <f>IFERROR(L27/SUM($L$4:$L$43),"")</f>
        <v/>
      </c>
      <c r="Q27">
        <f>IF(ISBLANK(G27), "", IF(TODAY()-G27&gt;365, "LTCG", "STCG"))</f>
        <v/>
      </c>
    </row>
    <row r="28" ht="16.5" customHeight="1" s="82">
      <c r="A28" s="37" t="n"/>
      <c r="B28" s="37" t="n"/>
      <c r="C28" s="37" t="n"/>
      <c r="D28" s="37" t="n"/>
      <c r="E28" s="41" t="n"/>
      <c r="F28" s="54" t="n"/>
      <c r="G28" s="40" t="n"/>
      <c r="H28" s="54" t="n"/>
      <c r="I28" s="41" t="n"/>
      <c r="J28" s="41" t="n"/>
      <c r="K28" s="42">
        <f>IFERROR(E28*F28,"")</f>
        <v/>
      </c>
      <c r="L28" s="42">
        <f>IFERROR(E28*H28,"")</f>
        <v/>
      </c>
      <c r="M28" s="42">
        <f>IFERROR(L28-K28,"")</f>
        <v/>
      </c>
      <c r="N28" s="43">
        <f>IFERROR((L28-K28)/K28,"")</f>
        <v/>
      </c>
      <c r="O28" s="43">
        <f>IFERROR(IF(G28="","",((H28/F28)^(365/MAX(1,TODAY()-G28))-1)),"")</f>
        <v/>
      </c>
      <c r="P28" s="43">
        <f>IFERROR(L28/SUM($L$4:$L$43),"")</f>
        <v/>
      </c>
      <c r="Q28">
        <f>IF(ISBLANK(G28), "", IF(TODAY()-G28&gt;365, "LTCG", "STCG"))</f>
        <v/>
      </c>
    </row>
    <row r="29" ht="16.5" customHeight="1" s="82">
      <c r="A29" s="46" t="n"/>
      <c r="B29" s="46" t="n"/>
      <c r="C29" s="46" t="n"/>
      <c r="D29" s="46" t="n"/>
      <c r="E29" s="50" t="n"/>
      <c r="F29" s="53" t="n"/>
      <c r="G29" s="49" t="n"/>
      <c r="H29" s="53" t="n"/>
      <c r="I29" s="50" t="n"/>
      <c r="J29" s="50" t="n"/>
      <c r="K29" s="51">
        <f>IFERROR(E29*F29,"")</f>
        <v/>
      </c>
      <c r="L29" s="51">
        <f>IFERROR(E29*H29,"")</f>
        <v/>
      </c>
      <c r="M29" s="51">
        <f>IFERROR(L29-K29,"")</f>
        <v/>
      </c>
      <c r="N29" s="52">
        <f>IFERROR((L29-K29)/K29,"")</f>
        <v/>
      </c>
      <c r="O29" s="52">
        <f>IFERROR(IF(G29="","",((H29/F29)^(365/MAX(1,TODAY()-G29))-1)),"")</f>
        <v/>
      </c>
      <c r="P29" s="52">
        <f>IFERROR(L29/SUM($L$4:$L$43),"")</f>
        <v/>
      </c>
      <c r="Q29">
        <f>IF(ISBLANK(G29), "", IF(TODAY()-G29&gt;365, "LTCG", "STCG"))</f>
        <v/>
      </c>
    </row>
    <row r="30" ht="16.5" customHeight="1" s="82">
      <c r="A30" s="37" t="n"/>
      <c r="B30" s="37" t="n"/>
      <c r="C30" s="37" t="n"/>
      <c r="D30" s="37" t="n"/>
      <c r="E30" s="41" t="n"/>
      <c r="F30" s="54" t="n"/>
      <c r="G30" s="40" t="n"/>
      <c r="H30" s="54" t="n"/>
      <c r="I30" s="41" t="n"/>
      <c r="J30" s="41" t="n"/>
      <c r="K30" s="42">
        <f>IFERROR(E30*F30,"")</f>
        <v/>
      </c>
      <c r="L30" s="42">
        <f>IFERROR(E30*H30,"")</f>
        <v/>
      </c>
      <c r="M30" s="42">
        <f>IFERROR(L30-K30,"")</f>
        <v/>
      </c>
      <c r="N30" s="43">
        <f>IFERROR((L30-K30)/K30,"")</f>
        <v/>
      </c>
      <c r="O30" s="43">
        <f>IFERROR(IF(G30="","",((H30/F30)^(365/MAX(1,TODAY()-G30))-1)),"")</f>
        <v/>
      </c>
      <c r="P30" s="43">
        <f>IFERROR(L30/SUM($L$4:$L$43),"")</f>
        <v/>
      </c>
      <c r="Q30">
        <f>IF(ISBLANK(G30), "", IF(TODAY()-G30&gt;365, "LTCG", "STCG"))</f>
        <v/>
      </c>
    </row>
    <row r="31" ht="16.5" customHeight="1" s="82">
      <c r="A31" s="46" t="n"/>
      <c r="B31" s="46" t="n"/>
      <c r="C31" s="46" t="n"/>
      <c r="D31" s="46" t="n"/>
      <c r="E31" s="50" t="n"/>
      <c r="F31" s="53" t="n"/>
      <c r="G31" s="49" t="n"/>
      <c r="H31" s="53" t="n"/>
      <c r="I31" s="50" t="n"/>
      <c r="J31" s="50" t="n"/>
      <c r="K31" s="51">
        <f>IFERROR(E31*F31,"")</f>
        <v/>
      </c>
      <c r="L31" s="51">
        <f>IFERROR(E31*H31,"")</f>
        <v/>
      </c>
      <c r="M31" s="51">
        <f>IFERROR(L31-K31,"")</f>
        <v/>
      </c>
      <c r="N31" s="52">
        <f>IFERROR((L31-K31)/K31,"")</f>
        <v/>
      </c>
      <c r="O31" s="52">
        <f>IFERROR(IF(G31="","",((H31/F31)^(365/MAX(1,TODAY()-G31))-1)),"")</f>
        <v/>
      </c>
      <c r="P31" s="52">
        <f>IFERROR(L31/SUM($L$4:$L$43),"")</f>
        <v/>
      </c>
      <c r="Q31">
        <f>IF(ISBLANK(G31), "", IF(TODAY()-G31&gt;365, "LTCG", "STCG"))</f>
        <v/>
      </c>
    </row>
    <row r="32" ht="16.5" customHeight="1" s="82">
      <c r="A32" s="37" t="n"/>
      <c r="B32" s="37" t="n"/>
      <c r="C32" s="37" t="n"/>
      <c r="D32" s="37" t="n"/>
      <c r="E32" s="41" t="n"/>
      <c r="F32" s="54" t="n"/>
      <c r="G32" s="40" t="n"/>
      <c r="H32" s="54" t="n"/>
      <c r="I32" s="41" t="n"/>
      <c r="J32" s="41" t="n"/>
      <c r="K32" s="42">
        <f>IFERROR(E32*F32,"")</f>
        <v/>
      </c>
      <c r="L32" s="42">
        <f>IFERROR(E32*H32,"")</f>
        <v/>
      </c>
      <c r="M32" s="42">
        <f>IFERROR(L32-K32,"")</f>
        <v/>
      </c>
      <c r="N32" s="43">
        <f>IFERROR((L32-K32)/K32,"")</f>
        <v/>
      </c>
      <c r="O32" s="43">
        <f>IFERROR(IF(G32="","",((H32/F32)^(365/MAX(1,TODAY()-G32))-1)),"")</f>
        <v/>
      </c>
      <c r="P32" s="43">
        <f>IFERROR(L32/SUM($L$4:$L$43),"")</f>
        <v/>
      </c>
      <c r="Q32">
        <f>IF(ISBLANK(G32), "", IF(TODAY()-G32&gt;365, "LTCG", "STCG"))</f>
        <v/>
      </c>
    </row>
    <row r="33" ht="16.5" customHeight="1" s="82">
      <c r="A33" s="46" t="n"/>
      <c r="B33" s="46" t="n"/>
      <c r="C33" s="46" t="n"/>
      <c r="D33" s="46" t="n"/>
      <c r="E33" s="50" t="n"/>
      <c r="F33" s="53" t="n"/>
      <c r="G33" s="49" t="n"/>
      <c r="H33" s="53" t="n"/>
      <c r="I33" s="50" t="n"/>
      <c r="J33" s="50" t="n"/>
      <c r="K33" s="51">
        <f>IFERROR(E33*F33,"")</f>
        <v/>
      </c>
      <c r="L33" s="51">
        <f>IFERROR(E33*H33,"")</f>
        <v/>
      </c>
      <c r="M33" s="51">
        <f>IFERROR(L33-K33,"")</f>
        <v/>
      </c>
      <c r="N33" s="52">
        <f>IFERROR((L33-K33)/K33,"")</f>
        <v/>
      </c>
      <c r="O33" s="52">
        <f>IFERROR(IF(G33="","",((H33/F33)^(365/MAX(1,TODAY()-G33))-1)),"")</f>
        <v/>
      </c>
      <c r="P33" s="52">
        <f>IFERROR(L33/SUM($L$4:$L$43),"")</f>
        <v/>
      </c>
      <c r="Q33">
        <f>IF(ISBLANK(G33), "", IF(TODAY()-G33&gt;365, "LTCG", "STCG"))</f>
        <v/>
      </c>
    </row>
    <row r="34" ht="16.5" customHeight="1" s="82">
      <c r="A34" s="37" t="n"/>
      <c r="B34" s="37" t="n"/>
      <c r="C34" s="37" t="n"/>
      <c r="D34" s="37" t="n"/>
      <c r="E34" s="41" t="n"/>
      <c r="F34" s="54" t="n"/>
      <c r="G34" s="40" t="n"/>
      <c r="H34" s="54" t="n"/>
      <c r="I34" s="41" t="n"/>
      <c r="J34" s="41" t="n"/>
      <c r="K34" s="42">
        <f>IFERROR(E34*F34,"")</f>
        <v/>
      </c>
      <c r="L34" s="42">
        <f>IFERROR(E34*H34,"")</f>
        <v/>
      </c>
      <c r="M34" s="42">
        <f>IFERROR(L34-K34,"")</f>
        <v/>
      </c>
      <c r="N34" s="43">
        <f>IFERROR((L34-K34)/K34,"")</f>
        <v/>
      </c>
      <c r="O34" s="43">
        <f>IFERROR(IF(G34="","",((H34/F34)^(365/MAX(1,TODAY()-G34))-1)),"")</f>
        <v/>
      </c>
      <c r="P34" s="43">
        <f>IFERROR(L34/SUM($L$4:$L$43),"")</f>
        <v/>
      </c>
      <c r="Q34">
        <f>IF(ISBLANK(G34), "", IF(TODAY()-G34&gt;365, "LTCG", "STCG"))</f>
        <v/>
      </c>
    </row>
    <row r="35" ht="16.5" customHeight="1" s="82">
      <c r="A35" s="46" t="n"/>
      <c r="B35" s="46" t="n"/>
      <c r="C35" s="46" t="n"/>
      <c r="D35" s="46" t="n"/>
      <c r="E35" s="50" t="n"/>
      <c r="F35" s="53" t="n"/>
      <c r="G35" s="49" t="n"/>
      <c r="H35" s="53" t="n"/>
      <c r="I35" s="50" t="n"/>
      <c r="J35" s="50" t="n"/>
      <c r="K35" s="51">
        <f>IFERROR(E35*F35,"")</f>
        <v/>
      </c>
      <c r="L35" s="51">
        <f>IFERROR(E35*H35,"")</f>
        <v/>
      </c>
      <c r="M35" s="51">
        <f>IFERROR(L35-K35,"")</f>
        <v/>
      </c>
      <c r="N35" s="52">
        <f>IFERROR((L35-K35)/K35,"")</f>
        <v/>
      </c>
      <c r="O35" s="52">
        <f>IFERROR(IF(G35="","",((H35/F35)^(365/MAX(1,TODAY()-G35))-1)),"")</f>
        <v/>
      </c>
      <c r="P35" s="52">
        <f>IFERROR(L35/SUM($L$4:$L$43),"")</f>
        <v/>
      </c>
      <c r="Q35">
        <f>IF(ISBLANK(G35), "", IF(TODAY()-G35&gt;365, "LTCG", "STCG"))</f>
        <v/>
      </c>
    </row>
    <row r="36" ht="16.5" customHeight="1" s="82">
      <c r="A36" s="37" t="n"/>
      <c r="B36" s="37" t="n"/>
      <c r="C36" s="37" t="n"/>
      <c r="D36" s="37" t="n"/>
      <c r="E36" s="41" t="n"/>
      <c r="F36" s="54" t="n"/>
      <c r="G36" s="40" t="n"/>
      <c r="H36" s="54" t="n"/>
      <c r="I36" s="41" t="n"/>
      <c r="J36" s="41" t="n"/>
      <c r="K36" s="42">
        <f>IFERROR(E36*F36,"")</f>
        <v/>
      </c>
      <c r="L36" s="42">
        <f>IFERROR(E36*H36,"")</f>
        <v/>
      </c>
      <c r="M36" s="42">
        <f>IFERROR(L36-K36,"")</f>
        <v/>
      </c>
      <c r="N36" s="43">
        <f>IFERROR((L36-K36)/K36,"")</f>
        <v/>
      </c>
      <c r="O36" s="43">
        <f>IFERROR(IF(G36="","",((H36/F36)^(365/MAX(1,TODAY()-G36))-1)),"")</f>
        <v/>
      </c>
      <c r="P36" s="43">
        <f>IFERROR(L36/SUM($L$4:$L$43),"")</f>
        <v/>
      </c>
      <c r="Q36">
        <f>IF(ISBLANK(G36), "", IF(TODAY()-G36&gt;365, "LTCG", "STCG"))</f>
        <v/>
      </c>
    </row>
    <row r="37" ht="16.5" customHeight="1" s="82">
      <c r="A37" s="46" t="n"/>
      <c r="B37" s="46" t="n"/>
      <c r="C37" s="46" t="n"/>
      <c r="D37" s="46" t="n"/>
      <c r="E37" s="50" t="n"/>
      <c r="F37" s="53" t="n"/>
      <c r="G37" s="49" t="n"/>
      <c r="H37" s="53" t="n"/>
      <c r="I37" s="50" t="n"/>
      <c r="J37" s="50" t="n"/>
      <c r="K37" s="51">
        <f>IFERROR(E37*F37,"")</f>
        <v/>
      </c>
      <c r="L37" s="51">
        <f>IFERROR(E37*H37,"")</f>
        <v/>
      </c>
      <c r="M37" s="51">
        <f>IFERROR(L37-K37,"")</f>
        <v/>
      </c>
      <c r="N37" s="52">
        <f>IFERROR((L37-K37)/K37,"")</f>
        <v/>
      </c>
      <c r="O37" s="52">
        <f>IFERROR(IF(G37="","",((H37/F37)^(365/MAX(1,TODAY()-G37))-1)),"")</f>
        <v/>
      </c>
      <c r="P37" s="52">
        <f>IFERROR(L37/SUM($L$4:$L$43),"")</f>
        <v/>
      </c>
      <c r="Q37">
        <f>IF(ISBLANK(G37), "", IF(TODAY()-G37&gt;365, "LTCG", "STCG"))</f>
        <v/>
      </c>
    </row>
    <row r="38" ht="16.5" customHeight="1" s="82">
      <c r="A38" s="37" t="n"/>
      <c r="B38" s="37" t="n"/>
      <c r="C38" s="37" t="n"/>
      <c r="D38" s="37" t="n"/>
      <c r="E38" s="41" t="n"/>
      <c r="F38" s="54" t="n"/>
      <c r="G38" s="40" t="n"/>
      <c r="H38" s="54" t="n"/>
      <c r="I38" s="41" t="n"/>
      <c r="J38" s="41" t="n"/>
      <c r="K38" s="42">
        <f>IFERROR(E38*F38,"")</f>
        <v/>
      </c>
      <c r="L38" s="42">
        <f>IFERROR(E38*H38,"")</f>
        <v/>
      </c>
      <c r="M38" s="42">
        <f>IFERROR(L38-K38,"")</f>
        <v/>
      </c>
      <c r="N38" s="43">
        <f>IFERROR((L38-K38)/K38,"")</f>
        <v/>
      </c>
      <c r="O38" s="43">
        <f>IFERROR(IF(G38="","",((H38/F38)^(365/MAX(1,TODAY()-G38))-1)),"")</f>
        <v/>
      </c>
      <c r="P38" s="43">
        <f>IFERROR(L38/SUM($L$4:$L$43),"")</f>
        <v/>
      </c>
      <c r="Q38">
        <f>IF(ISBLANK(G38), "", IF(TODAY()-G38&gt;365, "LTCG", "STCG"))</f>
        <v/>
      </c>
    </row>
    <row r="39" ht="16.5" customHeight="1" s="82">
      <c r="A39" s="46" t="n"/>
      <c r="B39" s="46" t="n"/>
      <c r="C39" s="46" t="n"/>
      <c r="D39" s="46" t="n"/>
      <c r="E39" s="50" t="n"/>
      <c r="F39" s="53" t="n"/>
      <c r="G39" s="49" t="n"/>
      <c r="H39" s="53" t="n"/>
      <c r="I39" s="50" t="n"/>
      <c r="J39" s="50" t="n"/>
      <c r="K39" s="51">
        <f>IFERROR(E39*F39,"")</f>
        <v/>
      </c>
      <c r="L39" s="51">
        <f>IFERROR(E39*H39,"")</f>
        <v/>
      </c>
      <c r="M39" s="51">
        <f>IFERROR(L39-K39,"")</f>
        <v/>
      </c>
      <c r="N39" s="52">
        <f>IFERROR((L39-K39)/K39,"")</f>
        <v/>
      </c>
      <c r="O39" s="52">
        <f>IFERROR(IF(G39="","",((H39/F39)^(365/MAX(1,TODAY()-G39))-1)),"")</f>
        <v/>
      </c>
      <c r="P39" s="52">
        <f>IFERROR(L39/SUM($L$4:$L$43),"")</f>
        <v/>
      </c>
      <c r="Q39">
        <f>IF(ISBLANK(G39), "", IF(TODAY()-G39&gt;365, "LTCG", "STCG"))</f>
        <v/>
      </c>
    </row>
    <row r="40" ht="16.5" customHeight="1" s="82">
      <c r="A40" s="37" t="n"/>
      <c r="B40" s="37" t="n"/>
      <c r="C40" s="37" t="n"/>
      <c r="D40" s="37" t="n"/>
      <c r="E40" s="41" t="n"/>
      <c r="F40" s="54" t="n"/>
      <c r="G40" s="40" t="n"/>
      <c r="H40" s="54" t="n"/>
      <c r="I40" s="41" t="n"/>
      <c r="J40" s="41" t="n"/>
      <c r="K40" s="42">
        <f>IFERROR(E40*F40,"")</f>
        <v/>
      </c>
      <c r="L40" s="42">
        <f>IFERROR(E40*H40,"")</f>
        <v/>
      </c>
      <c r="M40" s="42">
        <f>IFERROR(L40-K40,"")</f>
        <v/>
      </c>
      <c r="N40" s="43">
        <f>IFERROR((L40-K40)/K40,"")</f>
        <v/>
      </c>
      <c r="O40" s="43">
        <f>IFERROR(IF(G40="","",((H40/F40)^(365/MAX(1,TODAY()-G40))-1)),"")</f>
        <v/>
      </c>
      <c r="P40" s="43">
        <f>IFERROR(L40/SUM($L$4:$L$43),"")</f>
        <v/>
      </c>
      <c r="Q40">
        <f>IF(ISBLANK(G40), "", IF(TODAY()-G40&gt;365, "LTCG", "STCG"))</f>
        <v/>
      </c>
    </row>
    <row r="41" ht="16.5" customHeight="1" s="82">
      <c r="A41" s="46" t="n"/>
      <c r="B41" s="46" t="n"/>
      <c r="C41" s="46" t="n"/>
      <c r="D41" s="46" t="n"/>
      <c r="E41" s="50" t="n"/>
      <c r="F41" s="53" t="n"/>
      <c r="G41" s="49" t="n"/>
      <c r="H41" s="53" t="n"/>
      <c r="I41" s="50" t="n"/>
      <c r="J41" s="50" t="n"/>
      <c r="K41" s="51">
        <f>IFERROR(E41*F41,"")</f>
        <v/>
      </c>
      <c r="L41" s="51">
        <f>IFERROR(E41*H41,"")</f>
        <v/>
      </c>
      <c r="M41" s="51">
        <f>IFERROR(L41-K41,"")</f>
        <v/>
      </c>
      <c r="N41" s="52">
        <f>IFERROR((L41-K41)/K41,"")</f>
        <v/>
      </c>
      <c r="O41" s="52">
        <f>IFERROR(IF(G41="","",((H41/F41)^(365/MAX(1,TODAY()-G41))-1)),"")</f>
        <v/>
      </c>
      <c r="P41" s="52">
        <f>IFERROR(L41/SUM($L$4:$L$43),"")</f>
        <v/>
      </c>
      <c r="Q41">
        <f>IF(ISBLANK(G41), "", IF(TODAY()-G41&gt;365, "LTCG", "STCG"))</f>
        <v/>
      </c>
    </row>
    <row r="42" ht="16.5" customHeight="1" s="82">
      <c r="A42" s="37" t="n"/>
      <c r="B42" s="37" t="n"/>
      <c r="C42" s="37" t="n"/>
      <c r="D42" s="37" t="n"/>
      <c r="E42" s="41" t="n"/>
      <c r="F42" s="54" t="n"/>
      <c r="G42" s="40" t="n"/>
      <c r="H42" s="54" t="n"/>
      <c r="I42" s="41" t="n"/>
      <c r="J42" s="41" t="n"/>
      <c r="K42" s="42">
        <f>IFERROR(E42*F42,"")</f>
        <v/>
      </c>
      <c r="L42" s="42">
        <f>IFERROR(E42*H42,"")</f>
        <v/>
      </c>
      <c r="M42" s="42">
        <f>IFERROR(L42-K42,"")</f>
        <v/>
      </c>
      <c r="N42" s="43">
        <f>IFERROR((L42-K42)/K42,"")</f>
        <v/>
      </c>
      <c r="O42" s="43">
        <f>IFERROR(IF(G42="","",((H42/F42)^(365/MAX(1,TODAY()-G42))-1)),"")</f>
        <v/>
      </c>
      <c r="P42" s="43">
        <f>IFERROR(L42/SUM($L$4:$L$43),"")</f>
        <v/>
      </c>
      <c r="Q42">
        <f>IF(ISBLANK(G42), "", IF(TODAY()-G42&gt;365, "LTCG", "STCG"))</f>
        <v/>
      </c>
    </row>
    <row r="43" ht="16.5" customHeight="1" s="82">
      <c r="A43" s="46" t="n"/>
      <c r="B43" s="46" t="n"/>
      <c r="C43" s="46" t="n"/>
      <c r="D43" s="46" t="n"/>
      <c r="E43" s="50" t="n"/>
      <c r="F43" s="53" t="n"/>
      <c r="G43" s="49" t="n"/>
      <c r="H43" s="53" t="n"/>
      <c r="I43" s="50" t="n"/>
      <c r="J43" s="50" t="n"/>
      <c r="K43" s="51">
        <f>IFERROR(E43*F43,"")</f>
        <v/>
      </c>
      <c r="L43" s="51">
        <f>IFERROR(E43*H43,"")</f>
        <v/>
      </c>
      <c r="M43" s="51">
        <f>IFERROR(L43-K43,"")</f>
        <v/>
      </c>
      <c r="N43" s="52">
        <f>IFERROR((L43-K43)/K43,"")</f>
        <v/>
      </c>
      <c r="O43" s="52">
        <f>IFERROR(IF(G43="","",((H43/F43)^(365/MAX(1,TODAY()-G43))-1)),"")</f>
        <v/>
      </c>
      <c r="P43" s="52">
        <f>IFERROR(L43/SUM($L$4:$L$43),"")</f>
        <v/>
      </c>
      <c r="Q43">
        <f>IF(ISBLANK(G43), "", IF(TODAY()-G43&gt;365, "LTCG", "STCG"))</f>
        <v/>
      </c>
    </row>
    <row r="44" ht="19.5" customHeight="1" s="82">
      <c r="A44" s="56" t="inlineStr">
        <is>
          <t>TOTAL</t>
        </is>
      </c>
      <c r="B44" s="56" t="n"/>
      <c r="C44" s="56" t="n"/>
      <c r="D44" s="56" t="n"/>
      <c r="E44" s="56" t="n"/>
      <c r="F44" s="56" t="n"/>
      <c r="G44" s="56" t="n"/>
      <c r="H44" s="56" t="n"/>
      <c r="I44" s="56" t="n"/>
      <c r="J44" s="56" t="n"/>
      <c r="K44" s="57">
        <f>IFERROR(SUM(K4:K43),0)</f>
        <v/>
      </c>
      <c r="L44" s="57">
        <f>IFERROR(SUM(L4:L43),0)</f>
        <v/>
      </c>
      <c r="M44" s="57">
        <f>IFERROR(SUM(M4:M43),0)</f>
        <v/>
      </c>
      <c r="N44" s="58">
        <f>IFERROR((L44-K44)/K44,"")</f>
        <v/>
      </c>
      <c r="O44" s="57" t="n"/>
      <c r="P44" s="57" t="n"/>
      <c r="Q44">
        <f>IF(ISBLANK(G44), "", IF(TODAY()-G44&gt;365, "LTCG", "STCG"))</f>
        <v/>
      </c>
    </row>
    <row r="45" ht="14.25" customHeight="1" s="82">
      <c r="Q45">
        <f>IF(ISBLANK(G45), "", IF(TODAY()-G45&gt;365, "LTCG", "STCG"))</f>
        <v/>
      </c>
    </row>
    <row r="46" ht="14.25" customHeight="1" s="82">
      <c r="Q46">
        <f>IF(ISBLANK(G46), "", IF(TODAY()-G46&gt;365, "LTCG", "STCG"))</f>
        <v/>
      </c>
    </row>
    <row r="47" ht="14.25" customHeight="1" s="82">
      <c r="Q47">
        <f>IF(ISBLANK(G47), "", IF(TODAY()-G47&gt;365, "LTCG", "STCG"))</f>
        <v/>
      </c>
    </row>
    <row r="48" ht="14.25" customHeight="1" s="82">
      <c r="Q48">
        <f>IF(ISBLANK(G48), "", IF(TODAY()-G48&gt;365, "LTCG", "STCG"))</f>
        <v/>
      </c>
    </row>
    <row r="49" ht="14.25" customHeight="1" s="82">
      <c r="Q49">
        <f>IF(ISBLANK(G49), "", IF(TODAY()-G49&gt;365, "LTCG", "STCG"))</f>
        <v/>
      </c>
    </row>
    <row r="50" ht="14.25" customHeight="1" s="82">
      <c r="Q50">
        <f>IF(ISBLANK(G50), "", IF(TODAY()-G50&gt;365, "LTCG", "STCG"))</f>
        <v/>
      </c>
    </row>
    <row r="51" ht="14.25" customHeight="1" s="82"/>
    <row r="52" ht="14.25" customHeight="1" s="82"/>
    <row r="53" ht="14.25" customHeight="1" s="82"/>
    <row r="54" ht="14.25" customHeight="1" s="82"/>
    <row r="55" ht="14.25" customHeight="1" s="82"/>
    <row r="56" ht="14.25" customHeight="1" s="82"/>
    <row r="57" ht="14.25" customHeight="1" s="82"/>
    <row r="58" ht="14.25" customHeight="1" s="82"/>
    <row r="59" ht="14.25" customHeight="1" s="82"/>
    <row r="60" ht="14.25" customHeight="1" s="82"/>
    <row r="61" ht="14.25" customHeight="1" s="82"/>
    <row r="62" ht="14.25" customHeight="1" s="82"/>
    <row r="63" ht="14.25" customHeight="1" s="82"/>
    <row r="64" ht="14.25" customHeight="1" s="82"/>
    <row r="65" ht="14.25" customHeight="1" s="82"/>
    <row r="66" ht="14.25" customHeight="1" s="82"/>
    <row r="67" ht="14.25" customHeight="1" s="82"/>
    <row r="68" ht="14.25" customHeight="1" s="82"/>
    <row r="69" ht="14.25" customHeight="1" s="82"/>
    <row r="70" ht="14.25" customHeight="1" s="82"/>
    <row r="71" ht="14.25" customHeight="1" s="82"/>
    <row r="72" ht="14.25" customHeight="1" s="82"/>
    <row r="73" ht="14.25" customHeight="1" s="82"/>
    <row r="74" ht="14.25" customHeight="1" s="82"/>
    <row r="75" ht="14.25" customHeight="1" s="82"/>
    <row r="76" ht="14.25" customHeight="1" s="82"/>
    <row r="77" ht="14.25" customHeight="1" s="82"/>
    <row r="78" ht="14.25" customHeight="1" s="82"/>
    <row r="79" ht="14.25" customHeight="1" s="82"/>
    <row r="80" ht="14.25" customHeight="1" s="82"/>
    <row r="81" ht="14.25" customHeight="1" s="82"/>
    <row r="82" ht="14.25" customHeight="1" s="82"/>
    <row r="83" ht="14.25" customHeight="1" s="82"/>
    <row r="84" ht="14.25" customHeight="1" s="82"/>
    <row r="85" ht="14.25" customHeight="1" s="82"/>
    <row r="86" ht="14.25" customHeight="1" s="82"/>
    <row r="87" ht="14.25" customHeight="1" s="82"/>
    <row r="88" ht="14.25" customHeight="1" s="82"/>
    <row r="89" ht="14.25" customHeight="1" s="82"/>
    <row r="90" ht="14.25" customHeight="1" s="82"/>
    <row r="91" ht="14.25" customHeight="1" s="82"/>
    <row r="92" ht="14.25" customHeight="1" s="82"/>
    <row r="93" ht="14.25" customHeight="1" s="82"/>
    <row r="94" ht="14.25" customHeight="1" s="82"/>
    <row r="95" ht="14.25" customHeight="1" s="82"/>
    <row r="96" ht="14.25" customHeight="1" s="82"/>
    <row r="97" ht="14.25" customHeight="1" s="82"/>
    <row r="98" ht="14.25" customHeight="1" s="82"/>
    <row r="99" ht="14.25" customHeight="1" s="82"/>
    <row r="100" ht="14.25" customHeight="1" s="82"/>
    <row r="101" ht="14.25" customHeight="1" s="82"/>
    <row r="102" ht="14.25" customHeight="1" s="82"/>
    <row r="103" ht="14.25" customHeight="1" s="82"/>
    <row r="104" ht="14.25" customHeight="1" s="82"/>
    <row r="105" ht="14.25" customHeight="1" s="82"/>
    <row r="106" ht="14.25" customHeight="1" s="82"/>
    <row r="107" ht="14.25" customHeight="1" s="82"/>
    <row r="108" ht="14.25" customHeight="1" s="82"/>
    <row r="109" ht="14.25" customHeight="1" s="82"/>
    <row r="110" ht="14.25" customHeight="1" s="82"/>
    <row r="111" ht="14.25" customHeight="1" s="82"/>
    <row r="112" ht="14.25" customHeight="1" s="82"/>
    <row r="113" ht="14.25" customHeight="1" s="82"/>
    <row r="114" ht="14.25" customHeight="1" s="82"/>
    <row r="115" ht="14.25" customHeight="1" s="82"/>
    <row r="116" ht="14.25" customHeight="1" s="82"/>
    <row r="117" ht="14.25" customHeight="1" s="82"/>
    <row r="118" ht="14.25" customHeight="1" s="82"/>
    <row r="119" ht="14.25" customHeight="1" s="82"/>
    <row r="120" ht="14.25" customHeight="1" s="82"/>
    <row r="121" ht="14.25" customHeight="1" s="82"/>
    <row r="122" ht="14.25" customHeight="1" s="82"/>
    <row r="123" ht="14.25" customHeight="1" s="82"/>
    <row r="124" ht="14.25" customHeight="1" s="82"/>
    <row r="125" ht="14.25" customHeight="1" s="82"/>
    <row r="126" ht="14.25" customHeight="1" s="82"/>
    <row r="127" ht="14.25" customHeight="1" s="82"/>
    <row r="128" ht="14.25" customHeight="1" s="82"/>
    <row r="129" ht="14.25" customHeight="1" s="82"/>
    <row r="130" ht="14.25" customHeight="1" s="82"/>
    <row r="131" ht="14.25" customHeight="1" s="82"/>
    <row r="132" ht="14.25" customHeight="1" s="82"/>
    <row r="133" ht="14.25" customHeight="1" s="82"/>
    <row r="134" ht="14.25" customHeight="1" s="82"/>
    <row r="135" ht="14.25" customHeight="1" s="82"/>
    <row r="136" ht="14.25" customHeight="1" s="82"/>
    <row r="137" ht="14.25" customHeight="1" s="82"/>
    <row r="138" ht="14.25" customHeight="1" s="82"/>
    <row r="139" ht="14.25" customHeight="1" s="82"/>
    <row r="140" ht="14.25" customHeight="1" s="82"/>
    <row r="141" ht="14.25" customHeight="1" s="82"/>
    <row r="142" ht="14.25" customHeight="1" s="82"/>
    <row r="143" ht="14.25" customHeight="1" s="82"/>
    <row r="144" ht="14.25" customHeight="1" s="82"/>
    <row r="145" ht="14.25" customHeight="1" s="82"/>
    <row r="146" ht="14.25" customHeight="1" s="82"/>
    <row r="147" ht="14.25" customHeight="1" s="82"/>
    <row r="148" ht="14.25" customHeight="1" s="82"/>
    <row r="149" ht="14.25" customHeight="1" s="82"/>
    <row r="150" ht="14.25" customHeight="1" s="82"/>
    <row r="151" ht="14.25" customHeight="1" s="82"/>
    <row r="152" ht="14.25" customHeight="1" s="82"/>
    <row r="153" ht="14.25" customHeight="1" s="82"/>
    <row r="154" ht="14.25" customHeight="1" s="82"/>
    <row r="155" ht="14.25" customHeight="1" s="82"/>
    <row r="156" ht="14.25" customHeight="1" s="82"/>
    <row r="157" ht="14.25" customHeight="1" s="82"/>
    <row r="158" ht="14.25" customHeight="1" s="82"/>
    <row r="159" ht="14.25" customHeight="1" s="82"/>
    <row r="160" ht="14.25" customHeight="1" s="82"/>
    <row r="161" ht="14.25" customHeight="1" s="82"/>
    <row r="162" ht="14.25" customHeight="1" s="82"/>
    <row r="163" ht="14.25" customHeight="1" s="82"/>
    <row r="164" ht="14.25" customHeight="1" s="82"/>
    <row r="165" ht="14.25" customHeight="1" s="82"/>
    <row r="166" ht="14.25" customHeight="1" s="82"/>
    <row r="167" ht="14.25" customHeight="1" s="82"/>
    <row r="168" ht="14.25" customHeight="1" s="82"/>
    <row r="169" ht="14.25" customHeight="1" s="82"/>
    <row r="170" ht="14.25" customHeight="1" s="82"/>
    <row r="171" ht="14.25" customHeight="1" s="82"/>
    <row r="172" ht="14.25" customHeight="1" s="82"/>
    <row r="173" ht="14.25" customHeight="1" s="82"/>
    <row r="174" ht="14.25" customHeight="1" s="82"/>
    <row r="175" ht="14.25" customHeight="1" s="82"/>
    <row r="176" ht="14.25" customHeight="1" s="82"/>
    <row r="177" ht="14.25" customHeight="1" s="82"/>
    <row r="178" ht="14.25" customHeight="1" s="82"/>
    <row r="179" ht="14.25" customHeight="1" s="82"/>
    <row r="180" ht="14.25" customHeight="1" s="82"/>
    <row r="181" ht="14.25" customHeight="1" s="82"/>
    <row r="182" ht="14.25" customHeight="1" s="82"/>
    <row r="183" ht="14.25" customHeight="1" s="82"/>
    <row r="184" ht="14.25" customHeight="1" s="82"/>
    <row r="185" ht="14.25" customHeight="1" s="82"/>
    <row r="186" ht="14.25" customHeight="1" s="82"/>
    <row r="187" ht="14.25" customHeight="1" s="82"/>
    <row r="188" ht="14.25" customHeight="1" s="82"/>
    <row r="189" ht="14.25" customHeight="1" s="82"/>
    <row r="190" ht="14.25" customHeight="1" s="82"/>
    <row r="191" ht="14.25" customHeight="1" s="82"/>
    <row r="192" ht="14.25" customHeight="1" s="82"/>
    <row r="193" ht="14.25" customHeight="1" s="82"/>
    <row r="194" ht="14.25" customHeight="1" s="82"/>
    <row r="195" ht="14.25" customHeight="1" s="82"/>
    <row r="196" ht="14.25" customHeight="1" s="82"/>
    <row r="197" ht="14.25" customHeight="1" s="82"/>
    <row r="198" ht="14.25" customHeight="1" s="82"/>
    <row r="199" ht="14.25" customHeight="1" s="82"/>
    <row r="200" ht="14.25" customHeight="1" s="82"/>
    <row r="201" ht="14.25" customHeight="1" s="82"/>
    <row r="202" ht="14.25" customHeight="1" s="82"/>
    <row r="203" ht="14.25" customHeight="1" s="82"/>
    <row r="204" ht="14.25" customHeight="1" s="82"/>
    <row r="205" ht="14.25" customHeight="1" s="82"/>
    <row r="206" ht="14.25" customHeight="1" s="82"/>
    <row r="207" ht="14.25" customHeight="1" s="82"/>
    <row r="208" ht="14.25" customHeight="1" s="82"/>
    <row r="209" ht="14.25" customHeight="1" s="82"/>
    <row r="210" ht="14.25" customHeight="1" s="82"/>
    <row r="211" ht="14.25" customHeight="1" s="82"/>
    <row r="212" ht="14.25" customHeight="1" s="82"/>
    <row r="213" ht="14.25" customHeight="1" s="82"/>
    <row r="214" ht="14.25" customHeight="1" s="82"/>
    <row r="215" ht="14.25" customHeight="1" s="82"/>
    <row r="216" ht="14.25" customHeight="1" s="82"/>
    <row r="217" ht="14.25" customHeight="1" s="82"/>
    <row r="218" ht="14.25" customHeight="1" s="82"/>
    <row r="219" ht="14.25" customHeight="1" s="82"/>
    <row r="220" ht="14.25" customHeight="1" s="82"/>
    <row r="221" ht="14.25" customHeight="1" s="82"/>
    <row r="222" ht="14.25" customHeight="1" s="82"/>
    <row r="223" ht="14.25" customHeight="1" s="82"/>
    <row r="224" ht="14.25" customHeight="1" s="82"/>
    <row r="225" ht="14.25" customHeight="1" s="82"/>
    <row r="226" ht="14.25" customHeight="1" s="82"/>
    <row r="227" ht="14.25" customHeight="1" s="82"/>
    <row r="228" ht="14.25" customHeight="1" s="82"/>
    <row r="229" ht="14.25" customHeight="1" s="82"/>
    <row r="230" ht="14.25" customHeight="1" s="82"/>
    <row r="231" ht="14.25" customHeight="1" s="82"/>
    <row r="232" ht="14.25" customHeight="1" s="82"/>
    <row r="233" ht="14.25" customHeight="1" s="82"/>
    <row r="234" ht="14.25" customHeight="1" s="82"/>
    <row r="235" ht="14.25" customHeight="1" s="82"/>
    <row r="236" ht="14.25" customHeight="1" s="82"/>
    <row r="237" ht="14.25" customHeight="1" s="82"/>
    <row r="238" ht="14.25" customHeight="1" s="82"/>
    <row r="239" ht="14.25" customHeight="1" s="82"/>
    <row r="240" ht="14.25" customHeight="1" s="82"/>
    <row r="241" ht="14.25" customHeight="1" s="82"/>
    <row r="242" ht="14.25" customHeight="1" s="82"/>
    <row r="243" ht="14.25" customHeight="1" s="82"/>
    <row r="244" ht="14.25" customHeight="1" s="82"/>
    <row r="245" ht="14.25" customHeight="1" s="82"/>
    <row r="246" ht="14.25" customHeight="1" s="82"/>
    <row r="247" ht="14.25" customHeight="1" s="82"/>
    <row r="248" ht="14.25" customHeight="1" s="82"/>
    <row r="249" ht="14.25" customHeight="1" s="82"/>
    <row r="250" ht="14.25" customHeight="1" s="82"/>
    <row r="251" ht="14.25" customHeight="1" s="82"/>
    <row r="252" ht="14.25" customHeight="1" s="82"/>
    <row r="253" ht="14.25" customHeight="1" s="82"/>
    <row r="254" ht="14.25" customHeight="1" s="82"/>
    <row r="255" ht="14.25" customHeight="1" s="82"/>
    <row r="256" ht="14.25" customHeight="1" s="82"/>
    <row r="257" ht="14.25" customHeight="1" s="82"/>
    <row r="258" ht="14.25" customHeight="1" s="82"/>
    <row r="259" ht="14.25" customHeight="1" s="82"/>
    <row r="260" ht="14.25" customHeight="1" s="82"/>
    <row r="261" ht="14.25" customHeight="1" s="82"/>
    <row r="262" ht="14.25" customHeight="1" s="82"/>
    <row r="263" ht="14.25" customHeight="1" s="82"/>
    <row r="264" ht="14.25" customHeight="1" s="82"/>
    <row r="265" ht="14.25" customHeight="1" s="82"/>
    <row r="266" ht="14.25" customHeight="1" s="82"/>
    <row r="267" ht="14.25" customHeight="1" s="82"/>
    <row r="268" ht="14.25" customHeight="1" s="82"/>
    <row r="269" ht="14.25" customHeight="1" s="82"/>
    <row r="270" ht="14.25" customHeight="1" s="82"/>
    <row r="271" ht="14.25" customHeight="1" s="82"/>
    <row r="272" ht="14.25" customHeight="1" s="82"/>
    <row r="273" ht="14.25" customHeight="1" s="82"/>
    <row r="274" ht="14.25" customHeight="1" s="82"/>
    <row r="275" ht="14.25" customHeight="1" s="82"/>
    <row r="276" ht="14.25" customHeight="1" s="82"/>
    <row r="277" ht="14.25" customHeight="1" s="82"/>
    <row r="278" ht="14.25" customHeight="1" s="82"/>
    <row r="279" ht="14.25" customHeight="1" s="82"/>
    <row r="280" ht="14.25" customHeight="1" s="82"/>
    <row r="281" ht="14.25" customHeight="1" s="82"/>
    <row r="282" ht="14.25" customHeight="1" s="82"/>
    <row r="283" ht="14.25" customHeight="1" s="82"/>
    <row r="284" ht="14.25" customHeight="1" s="82"/>
    <row r="285" ht="14.25" customHeight="1" s="82"/>
    <row r="286" ht="14.25" customHeight="1" s="82"/>
    <row r="287" ht="14.25" customHeight="1" s="82"/>
    <row r="288" ht="14.25" customHeight="1" s="82"/>
    <row r="289" ht="14.25" customHeight="1" s="82"/>
    <row r="290" ht="14.25" customHeight="1" s="82"/>
    <row r="291" ht="14.25" customHeight="1" s="82"/>
    <row r="292" ht="14.25" customHeight="1" s="82"/>
    <row r="293" ht="14.25" customHeight="1" s="82"/>
    <row r="294" ht="14.25" customHeight="1" s="82"/>
    <row r="295" ht="14.25" customHeight="1" s="82"/>
    <row r="296" ht="14.25" customHeight="1" s="82"/>
    <row r="297" ht="14.25" customHeight="1" s="82"/>
    <row r="298" ht="14.25" customHeight="1" s="82"/>
    <row r="299" ht="14.25" customHeight="1" s="82"/>
    <row r="300" ht="14.25" customHeight="1" s="82"/>
    <row r="301" ht="14.25" customHeight="1" s="82"/>
    <row r="302" ht="14.25" customHeight="1" s="82"/>
    <row r="303" ht="14.25" customHeight="1" s="82"/>
    <row r="304" ht="14.25" customHeight="1" s="82"/>
    <row r="305" ht="14.25" customHeight="1" s="82"/>
    <row r="306" ht="14.25" customHeight="1" s="82"/>
    <row r="307" ht="14.25" customHeight="1" s="82"/>
    <row r="308" ht="14.25" customHeight="1" s="82"/>
    <row r="309" ht="14.25" customHeight="1" s="82"/>
    <row r="310" ht="14.25" customHeight="1" s="82"/>
    <row r="311" ht="14.25" customHeight="1" s="82"/>
    <row r="312" ht="14.25" customHeight="1" s="82"/>
    <row r="313" ht="14.25" customHeight="1" s="82"/>
    <row r="314" ht="14.25" customHeight="1" s="82"/>
    <row r="315" ht="14.25" customHeight="1" s="82"/>
    <row r="316" ht="14.25" customHeight="1" s="82"/>
    <row r="317" ht="14.25" customHeight="1" s="82"/>
    <row r="318" ht="14.25" customHeight="1" s="82"/>
    <row r="319" ht="14.25" customHeight="1" s="82"/>
    <row r="320" ht="14.25" customHeight="1" s="82"/>
    <row r="321" ht="14.25" customHeight="1" s="82"/>
    <row r="322" ht="14.25" customHeight="1" s="82"/>
    <row r="323" ht="14.25" customHeight="1" s="82"/>
    <row r="324" ht="14.25" customHeight="1" s="82"/>
    <row r="325" ht="14.25" customHeight="1" s="82"/>
    <row r="326" ht="14.25" customHeight="1" s="82"/>
    <row r="327" ht="14.25" customHeight="1" s="82"/>
    <row r="328" ht="14.25" customHeight="1" s="82"/>
    <row r="329" ht="14.25" customHeight="1" s="82"/>
    <row r="330" ht="14.25" customHeight="1" s="82"/>
    <row r="331" ht="14.25" customHeight="1" s="82"/>
    <row r="332" ht="14.25" customHeight="1" s="82"/>
    <row r="333" ht="14.25" customHeight="1" s="82"/>
    <row r="334" ht="14.25" customHeight="1" s="82"/>
    <row r="335" ht="14.25" customHeight="1" s="82"/>
    <row r="336" ht="14.25" customHeight="1" s="82"/>
    <row r="337" ht="14.25" customHeight="1" s="82"/>
    <row r="338" ht="14.25" customHeight="1" s="82"/>
    <row r="339" ht="14.25" customHeight="1" s="82"/>
    <row r="340" ht="14.25" customHeight="1" s="82"/>
    <row r="341" ht="14.25" customHeight="1" s="82"/>
    <row r="342" ht="14.25" customHeight="1" s="82"/>
    <row r="343" ht="14.25" customHeight="1" s="82"/>
    <row r="344" ht="14.25" customHeight="1" s="82"/>
    <row r="345" ht="14.25" customHeight="1" s="82"/>
    <row r="346" ht="14.25" customHeight="1" s="82"/>
    <row r="347" ht="14.25" customHeight="1" s="82"/>
    <row r="348" ht="14.25" customHeight="1" s="82"/>
    <row r="349" ht="14.25" customHeight="1" s="82"/>
    <row r="350" ht="14.25" customHeight="1" s="82"/>
    <row r="351" ht="14.25" customHeight="1" s="82"/>
    <row r="352" ht="14.25" customHeight="1" s="82"/>
    <row r="353" ht="14.25" customHeight="1" s="82"/>
    <row r="354" ht="14.25" customHeight="1" s="82"/>
    <row r="355" ht="14.25" customHeight="1" s="82"/>
    <row r="356" ht="14.25" customHeight="1" s="82"/>
    <row r="357" ht="14.25" customHeight="1" s="82"/>
    <row r="358" ht="14.25" customHeight="1" s="82"/>
    <row r="359" ht="14.25" customHeight="1" s="82"/>
    <row r="360" ht="14.25" customHeight="1" s="82"/>
    <row r="361" ht="14.25" customHeight="1" s="82"/>
    <row r="362" ht="14.25" customHeight="1" s="82"/>
    <row r="363" ht="14.25" customHeight="1" s="82"/>
    <row r="364" ht="14.25" customHeight="1" s="82"/>
    <row r="365" ht="14.25" customHeight="1" s="82"/>
    <row r="366" ht="14.25" customHeight="1" s="82"/>
    <row r="367" ht="14.25" customHeight="1" s="82"/>
    <row r="368" ht="14.25" customHeight="1" s="82"/>
    <row r="369" ht="14.25" customHeight="1" s="82"/>
    <row r="370" ht="14.25" customHeight="1" s="82"/>
    <row r="371" ht="14.25" customHeight="1" s="82"/>
    <row r="372" ht="14.25" customHeight="1" s="82"/>
    <row r="373" ht="14.25" customHeight="1" s="82"/>
    <row r="374" ht="14.25" customHeight="1" s="82"/>
    <row r="375" ht="14.25" customHeight="1" s="82"/>
    <row r="376" ht="14.25" customHeight="1" s="82"/>
    <row r="377" ht="14.25" customHeight="1" s="82"/>
    <row r="378" ht="14.25" customHeight="1" s="82"/>
    <row r="379" ht="14.25" customHeight="1" s="82"/>
    <row r="380" ht="14.25" customHeight="1" s="82"/>
    <row r="381" ht="14.25" customHeight="1" s="82"/>
    <row r="382" ht="14.25" customHeight="1" s="82"/>
    <row r="383" ht="14.25" customHeight="1" s="82"/>
    <row r="384" ht="14.25" customHeight="1" s="82"/>
    <row r="385" ht="14.25" customHeight="1" s="82"/>
    <row r="386" ht="14.25" customHeight="1" s="82"/>
    <row r="387" ht="14.25" customHeight="1" s="82"/>
    <row r="388" ht="14.25" customHeight="1" s="82"/>
    <row r="389" ht="14.25" customHeight="1" s="82"/>
    <row r="390" ht="14.25" customHeight="1" s="82"/>
    <row r="391" ht="14.25" customHeight="1" s="82"/>
    <row r="392" ht="14.25" customHeight="1" s="82"/>
    <row r="393" ht="14.25" customHeight="1" s="82"/>
    <row r="394" ht="14.25" customHeight="1" s="82"/>
    <row r="395" ht="14.25" customHeight="1" s="82"/>
    <row r="396" ht="14.25" customHeight="1" s="82"/>
    <row r="397" ht="14.25" customHeight="1" s="82"/>
    <row r="398" ht="14.25" customHeight="1" s="82"/>
    <row r="399" ht="14.25" customHeight="1" s="82"/>
    <row r="400" ht="14.25" customHeight="1" s="82"/>
    <row r="401" ht="14.25" customHeight="1" s="82"/>
    <row r="402" ht="14.25" customHeight="1" s="82"/>
    <row r="403" ht="14.25" customHeight="1" s="82"/>
    <row r="404" ht="14.25" customHeight="1" s="82"/>
    <row r="405" ht="14.25" customHeight="1" s="82"/>
    <row r="406" ht="14.25" customHeight="1" s="82"/>
    <row r="407" ht="14.25" customHeight="1" s="82"/>
    <row r="408" ht="14.25" customHeight="1" s="82"/>
    <row r="409" ht="14.25" customHeight="1" s="82"/>
    <row r="410" ht="14.25" customHeight="1" s="82"/>
    <row r="411" ht="14.25" customHeight="1" s="82"/>
    <row r="412" ht="14.25" customHeight="1" s="82"/>
    <row r="413" ht="14.25" customHeight="1" s="82"/>
    <row r="414" ht="14.25" customHeight="1" s="82"/>
    <row r="415" ht="14.25" customHeight="1" s="82"/>
    <row r="416" ht="14.25" customHeight="1" s="82"/>
    <row r="417" ht="14.25" customHeight="1" s="82"/>
    <row r="418" ht="14.25" customHeight="1" s="82"/>
    <row r="419" ht="14.25" customHeight="1" s="82"/>
    <row r="420" ht="14.25" customHeight="1" s="82"/>
    <row r="421" ht="14.25" customHeight="1" s="82"/>
    <row r="422" ht="14.25" customHeight="1" s="82"/>
    <row r="423" ht="14.25" customHeight="1" s="82"/>
    <row r="424" ht="14.25" customHeight="1" s="82"/>
    <row r="425" ht="14.25" customHeight="1" s="82"/>
    <row r="426" ht="14.25" customHeight="1" s="82"/>
    <row r="427" ht="14.25" customHeight="1" s="82"/>
    <row r="428" ht="14.25" customHeight="1" s="82"/>
    <row r="429" ht="14.25" customHeight="1" s="82"/>
    <row r="430" ht="14.25" customHeight="1" s="82"/>
    <row r="431" ht="14.25" customHeight="1" s="82"/>
    <row r="432" ht="14.25" customHeight="1" s="82"/>
    <row r="433" ht="14.25" customHeight="1" s="82"/>
    <row r="434" ht="14.25" customHeight="1" s="82"/>
    <row r="435" ht="14.25" customHeight="1" s="82"/>
    <row r="436" ht="14.25" customHeight="1" s="82"/>
    <row r="437" ht="14.25" customHeight="1" s="82"/>
    <row r="438" ht="14.25" customHeight="1" s="82"/>
    <row r="439" ht="14.25" customHeight="1" s="82"/>
    <row r="440" ht="14.25" customHeight="1" s="82"/>
    <row r="441" ht="14.25" customHeight="1" s="82"/>
    <row r="442" ht="14.25" customHeight="1" s="82"/>
    <row r="443" ht="14.25" customHeight="1" s="82"/>
    <row r="444" ht="14.25" customHeight="1" s="82"/>
    <row r="445" ht="14.25" customHeight="1" s="82"/>
    <row r="446" ht="14.25" customHeight="1" s="82"/>
    <row r="447" ht="14.25" customHeight="1" s="82"/>
    <row r="448" ht="14.25" customHeight="1" s="82"/>
    <row r="449" ht="14.25" customHeight="1" s="82"/>
    <row r="450" ht="14.25" customHeight="1" s="82"/>
    <row r="451" ht="14.25" customHeight="1" s="82"/>
    <row r="452" ht="14.25" customHeight="1" s="82"/>
    <row r="453" ht="14.25" customHeight="1" s="82"/>
    <row r="454" ht="14.25" customHeight="1" s="82"/>
    <row r="455" ht="14.25" customHeight="1" s="82"/>
    <row r="456" ht="14.25" customHeight="1" s="82"/>
    <row r="457" ht="14.25" customHeight="1" s="82"/>
    <row r="458" ht="14.25" customHeight="1" s="82"/>
    <row r="459" ht="14.25" customHeight="1" s="82"/>
    <row r="460" ht="14.25" customHeight="1" s="82"/>
    <row r="461" ht="14.25" customHeight="1" s="82"/>
    <row r="462" ht="14.25" customHeight="1" s="82"/>
    <row r="463" ht="14.25" customHeight="1" s="82"/>
    <row r="464" ht="14.25" customHeight="1" s="82"/>
    <row r="465" ht="14.25" customHeight="1" s="82"/>
    <row r="466" ht="14.25" customHeight="1" s="82"/>
    <row r="467" ht="14.25" customHeight="1" s="82"/>
    <row r="468" ht="14.25" customHeight="1" s="82"/>
    <row r="469" ht="14.25" customHeight="1" s="82"/>
    <row r="470" ht="14.25" customHeight="1" s="82"/>
    <row r="471" ht="14.25" customHeight="1" s="82"/>
    <row r="472" ht="14.25" customHeight="1" s="82"/>
    <row r="473" ht="14.25" customHeight="1" s="82"/>
    <row r="474" ht="14.25" customHeight="1" s="82"/>
    <row r="475" ht="14.25" customHeight="1" s="82"/>
    <row r="476" ht="14.25" customHeight="1" s="82"/>
    <row r="477" ht="14.25" customHeight="1" s="82"/>
    <row r="478" ht="14.25" customHeight="1" s="82"/>
    <row r="479" ht="14.25" customHeight="1" s="82"/>
    <row r="480" ht="14.25" customHeight="1" s="82"/>
    <row r="481" ht="14.25" customHeight="1" s="82"/>
    <row r="482" ht="14.25" customHeight="1" s="82"/>
    <row r="483" ht="14.25" customHeight="1" s="82"/>
    <row r="484" ht="14.25" customHeight="1" s="82"/>
    <row r="485" ht="14.25" customHeight="1" s="82"/>
    <row r="486" ht="14.25" customHeight="1" s="82"/>
    <row r="487" ht="14.25" customHeight="1" s="82"/>
    <row r="488" ht="14.25" customHeight="1" s="82"/>
    <row r="489" ht="14.25" customHeight="1" s="82"/>
    <row r="490" ht="14.25" customHeight="1" s="82"/>
    <row r="491" ht="14.25" customHeight="1" s="82"/>
    <row r="492" ht="14.25" customHeight="1" s="82"/>
    <row r="493" ht="14.25" customHeight="1" s="82"/>
    <row r="494" ht="14.25" customHeight="1" s="82"/>
    <row r="495" ht="14.25" customHeight="1" s="82"/>
    <row r="496" ht="14.25" customHeight="1" s="82"/>
    <row r="497" ht="14.25" customHeight="1" s="82"/>
    <row r="498" ht="14.25" customHeight="1" s="82"/>
    <row r="499" ht="14.25" customHeight="1" s="82"/>
    <row r="500" ht="14.25" customHeight="1" s="82"/>
    <row r="501" ht="14.25" customHeight="1" s="82"/>
    <row r="502" ht="14.25" customHeight="1" s="82"/>
    <row r="503" ht="14.25" customHeight="1" s="82"/>
    <row r="504" ht="14.25" customHeight="1" s="82"/>
    <row r="505" ht="14.25" customHeight="1" s="82"/>
    <row r="506" ht="14.25" customHeight="1" s="82"/>
    <row r="507" ht="14.25" customHeight="1" s="82"/>
    <row r="508" ht="14.25" customHeight="1" s="82"/>
    <row r="509" ht="14.25" customHeight="1" s="82"/>
    <row r="510" ht="14.25" customHeight="1" s="82"/>
    <row r="511" ht="14.25" customHeight="1" s="82"/>
    <row r="512" ht="14.25" customHeight="1" s="82"/>
    <row r="513" ht="14.25" customHeight="1" s="82"/>
    <row r="514" ht="14.25" customHeight="1" s="82"/>
    <row r="515" ht="14.25" customHeight="1" s="82"/>
    <row r="516" ht="14.25" customHeight="1" s="82"/>
    <row r="517" ht="14.25" customHeight="1" s="82"/>
    <row r="518" ht="14.25" customHeight="1" s="82"/>
    <row r="519" ht="14.25" customHeight="1" s="82"/>
    <row r="520" ht="14.25" customHeight="1" s="82"/>
    <row r="521" ht="14.25" customHeight="1" s="82"/>
    <row r="522" ht="14.25" customHeight="1" s="82"/>
    <row r="523" ht="14.25" customHeight="1" s="82"/>
    <row r="524" ht="14.25" customHeight="1" s="82"/>
    <row r="525" ht="14.25" customHeight="1" s="82"/>
    <row r="526" ht="14.25" customHeight="1" s="82"/>
    <row r="527" ht="14.25" customHeight="1" s="82"/>
    <row r="528" ht="14.25" customHeight="1" s="82"/>
    <row r="529" ht="14.25" customHeight="1" s="82"/>
    <row r="530" ht="14.25" customHeight="1" s="82"/>
    <row r="531" ht="14.25" customHeight="1" s="82"/>
    <row r="532" ht="14.25" customHeight="1" s="82"/>
    <row r="533" ht="14.25" customHeight="1" s="82"/>
    <row r="534" ht="14.25" customHeight="1" s="82"/>
    <row r="535" ht="14.25" customHeight="1" s="82"/>
    <row r="536" ht="14.25" customHeight="1" s="82"/>
    <row r="537" ht="14.25" customHeight="1" s="82"/>
    <row r="538" ht="14.25" customHeight="1" s="82"/>
    <row r="539" ht="14.25" customHeight="1" s="82"/>
    <row r="540" ht="14.25" customHeight="1" s="82"/>
    <row r="541" ht="14.25" customHeight="1" s="82"/>
    <row r="542" ht="14.25" customHeight="1" s="82"/>
    <row r="543" ht="14.25" customHeight="1" s="82"/>
    <row r="544" ht="14.25" customHeight="1" s="82"/>
    <row r="545" ht="14.25" customHeight="1" s="82"/>
    <row r="546" ht="14.25" customHeight="1" s="82"/>
    <row r="547" ht="14.25" customHeight="1" s="82"/>
    <row r="548" ht="14.25" customHeight="1" s="82"/>
    <row r="549" ht="14.25" customHeight="1" s="82"/>
    <row r="550" ht="14.25" customHeight="1" s="82"/>
    <row r="551" ht="14.25" customHeight="1" s="82"/>
    <row r="552" ht="14.25" customHeight="1" s="82"/>
    <row r="553" ht="14.25" customHeight="1" s="82"/>
    <row r="554" ht="14.25" customHeight="1" s="82"/>
    <row r="555" ht="14.25" customHeight="1" s="82"/>
    <row r="556" ht="14.25" customHeight="1" s="82"/>
    <row r="557" ht="14.25" customHeight="1" s="82"/>
    <row r="558" ht="14.25" customHeight="1" s="82"/>
    <row r="559" ht="14.25" customHeight="1" s="82"/>
    <row r="560" ht="14.25" customHeight="1" s="82"/>
    <row r="561" ht="14.25" customHeight="1" s="82"/>
    <row r="562" ht="14.25" customHeight="1" s="82"/>
    <row r="563" ht="14.25" customHeight="1" s="82"/>
    <row r="564" ht="14.25" customHeight="1" s="82"/>
    <row r="565" ht="14.25" customHeight="1" s="82"/>
    <row r="566" ht="14.25" customHeight="1" s="82"/>
    <row r="567" ht="14.25" customHeight="1" s="82"/>
    <row r="568" ht="14.25" customHeight="1" s="82"/>
    <row r="569" ht="14.25" customHeight="1" s="82"/>
    <row r="570" ht="14.25" customHeight="1" s="82"/>
    <row r="571" ht="14.25" customHeight="1" s="82"/>
    <row r="572" ht="14.25" customHeight="1" s="82"/>
    <row r="573" ht="14.25" customHeight="1" s="82"/>
    <row r="574" ht="14.25" customHeight="1" s="82"/>
    <row r="575" ht="14.25" customHeight="1" s="82"/>
    <row r="576" ht="14.25" customHeight="1" s="82"/>
    <row r="577" ht="14.25" customHeight="1" s="82"/>
    <row r="578" ht="14.25" customHeight="1" s="82"/>
    <row r="579" ht="14.25" customHeight="1" s="82"/>
    <row r="580" ht="14.25" customHeight="1" s="82"/>
    <row r="581" ht="14.25" customHeight="1" s="82"/>
    <row r="582" ht="14.25" customHeight="1" s="82"/>
    <row r="583" ht="14.25" customHeight="1" s="82"/>
    <row r="584" ht="14.25" customHeight="1" s="82"/>
    <row r="585" ht="14.25" customHeight="1" s="82"/>
    <row r="586" ht="14.25" customHeight="1" s="82"/>
    <row r="587" ht="14.25" customHeight="1" s="82"/>
    <row r="588" ht="14.25" customHeight="1" s="82"/>
    <row r="589" ht="14.25" customHeight="1" s="82"/>
    <row r="590" ht="14.25" customHeight="1" s="82"/>
    <row r="591" ht="14.25" customHeight="1" s="82"/>
    <row r="592" ht="14.25" customHeight="1" s="82"/>
    <row r="593" ht="14.25" customHeight="1" s="82"/>
    <row r="594" ht="14.25" customHeight="1" s="82"/>
    <row r="595" ht="14.25" customHeight="1" s="82"/>
    <row r="596" ht="14.25" customHeight="1" s="82"/>
    <row r="597" ht="14.25" customHeight="1" s="82"/>
    <row r="598" ht="14.25" customHeight="1" s="82"/>
    <row r="599" ht="14.25" customHeight="1" s="82"/>
    <row r="600" ht="14.25" customHeight="1" s="82"/>
    <row r="601" ht="14.25" customHeight="1" s="82"/>
    <row r="602" ht="14.25" customHeight="1" s="82"/>
    <row r="603" ht="14.25" customHeight="1" s="82"/>
    <row r="604" ht="14.25" customHeight="1" s="82"/>
    <row r="605" ht="14.25" customHeight="1" s="82"/>
    <row r="606" ht="14.25" customHeight="1" s="82"/>
    <row r="607" ht="14.25" customHeight="1" s="82"/>
    <row r="608" ht="14.25" customHeight="1" s="82"/>
    <row r="609" ht="14.25" customHeight="1" s="82"/>
    <row r="610" ht="14.25" customHeight="1" s="82"/>
    <row r="611" ht="14.25" customHeight="1" s="82"/>
    <row r="612" ht="14.25" customHeight="1" s="82"/>
    <row r="613" ht="14.25" customHeight="1" s="82"/>
    <row r="614" ht="14.25" customHeight="1" s="82"/>
    <row r="615" ht="14.25" customHeight="1" s="82"/>
    <row r="616" ht="14.25" customHeight="1" s="82"/>
    <row r="617" ht="14.25" customHeight="1" s="82"/>
    <row r="618" ht="14.25" customHeight="1" s="82"/>
    <row r="619" ht="14.25" customHeight="1" s="82"/>
    <row r="620" ht="14.25" customHeight="1" s="82"/>
    <row r="621" ht="14.25" customHeight="1" s="82"/>
    <row r="622" ht="14.25" customHeight="1" s="82"/>
    <row r="623" ht="14.25" customHeight="1" s="82"/>
    <row r="624" ht="14.25" customHeight="1" s="82"/>
    <row r="625" ht="14.25" customHeight="1" s="82"/>
    <row r="626" ht="14.25" customHeight="1" s="82"/>
    <row r="627" ht="14.25" customHeight="1" s="82"/>
    <row r="628" ht="14.25" customHeight="1" s="82"/>
    <row r="629" ht="14.25" customHeight="1" s="82"/>
    <row r="630" ht="14.25" customHeight="1" s="82"/>
    <row r="631" ht="14.25" customHeight="1" s="82"/>
    <row r="632" ht="14.25" customHeight="1" s="82"/>
    <row r="633" ht="14.25" customHeight="1" s="82"/>
    <row r="634" ht="14.25" customHeight="1" s="82"/>
    <row r="635" ht="14.25" customHeight="1" s="82"/>
    <row r="636" ht="14.25" customHeight="1" s="82"/>
    <row r="637" ht="14.25" customHeight="1" s="82"/>
    <row r="638" ht="14.25" customHeight="1" s="82"/>
    <row r="639" ht="14.25" customHeight="1" s="82"/>
    <row r="640" ht="14.25" customHeight="1" s="82"/>
    <row r="641" ht="14.25" customHeight="1" s="82"/>
    <row r="642" ht="14.25" customHeight="1" s="82"/>
    <row r="643" ht="14.25" customHeight="1" s="82"/>
    <row r="644" ht="14.25" customHeight="1" s="82"/>
    <row r="645" ht="14.25" customHeight="1" s="82"/>
    <row r="646" ht="14.25" customHeight="1" s="82"/>
    <row r="647" ht="14.25" customHeight="1" s="82"/>
    <row r="648" ht="14.25" customHeight="1" s="82"/>
    <row r="649" ht="14.25" customHeight="1" s="82"/>
    <row r="650" ht="14.25" customHeight="1" s="82"/>
    <row r="651" ht="14.25" customHeight="1" s="82"/>
    <row r="652" ht="14.25" customHeight="1" s="82"/>
    <row r="653" ht="14.25" customHeight="1" s="82"/>
    <row r="654" ht="14.25" customHeight="1" s="82"/>
    <row r="655" ht="14.25" customHeight="1" s="82"/>
    <row r="656" ht="14.25" customHeight="1" s="82"/>
    <row r="657" ht="14.25" customHeight="1" s="82"/>
    <row r="658" ht="14.25" customHeight="1" s="82"/>
    <row r="659" ht="14.25" customHeight="1" s="82"/>
    <row r="660" ht="14.25" customHeight="1" s="82"/>
    <row r="661" ht="14.25" customHeight="1" s="82"/>
    <row r="662" ht="14.25" customHeight="1" s="82"/>
    <row r="663" ht="14.25" customHeight="1" s="82"/>
    <row r="664" ht="14.25" customHeight="1" s="82"/>
    <row r="665" ht="14.25" customHeight="1" s="82"/>
    <row r="666" ht="14.25" customHeight="1" s="82"/>
    <row r="667" ht="14.25" customHeight="1" s="82"/>
    <row r="668" ht="14.25" customHeight="1" s="82"/>
    <row r="669" ht="14.25" customHeight="1" s="82"/>
    <row r="670" ht="14.25" customHeight="1" s="82"/>
    <row r="671" ht="14.25" customHeight="1" s="82"/>
    <row r="672" ht="14.25" customHeight="1" s="82"/>
    <row r="673" ht="14.25" customHeight="1" s="82"/>
    <row r="674" ht="14.25" customHeight="1" s="82"/>
    <row r="675" ht="14.25" customHeight="1" s="82"/>
    <row r="676" ht="14.25" customHeight="1" s="82"/>
    <row r="677" ht="14.25" customHeight="1" s="82"/>
    <row r="678" ht="14.25" customHeight="1" s="82"/>
    <row r="679" ht="14.25" customHeight="1" s="82"/>
    <row r="680" ht="14.25" customHeight="1" s="82"/>
    <row r="681" ht="14.25" customHeight="1" s="82"/>
    <row r="682" ht="14.25" customHeight="1" s="82"/>
    <row r="683" ht="14.25" customHeight="1" s="82"/>
    <row r="684" ht="14.25" customHeight="1" s="82"/>
    <row r="685" ht="14.25" customHeight="1" s="82"/>
    <row r="686" ht="14.25" customHeight="1" s="82"/>
    <row r="687" ht="14.25" customHeight="1" s="82"/>
    <row r="688" ht="14.25" customHeight="1" s="82"/>
    <row r="689" ht="14.25" customHeight="1" s="82"/>
    <row r="690" ht="14.25" customHeight="1" s="82"/>
    <row r="691" ht="14.25" customHeight="1" s="82"/>
    <row r="692" ht="14.25" customHeight="1" s="82"/>
    <row r="693" ht="14.25" customHeight="1" s="82"/>
    <row r="694" ht="14.25" customHeight="1" s="82"/>
    <row r="695" ht="14.25" customHeight="1" s="82"/>
    <row r="696" ht="14.25" customHeight="1" s="82"/>
    <row r="697" ht="14.25" customHeight="1" s="82"/>
    <row r="698" ht="14.25" customHeight="1" s="82"/>
    <row r="699" ht="14.25" customHeight="1" s="82"/>
    <row r="700" ht="14.25" customHeight="1" s="82"/>
    <row r="701" ht="14.25" customHeight="1" s="82"/>
    <row r="702" ht="14.25" customHeight="1" s="82"/>
    <row r="703" ht="14.25" customHeight="1" s="82"/>
    <row r="704" ht="14.25" customHeight="1" s="82"/>
    <row r="705" ht="14.25" customHeight="1" s="82"/>
    <row r="706" ht="14.25" customHeight="1" s="82"/>
    <row r="707" ht="14.25" customHeight="1" s="82"/>
    <row r="708" ht="14.25" customHeight="1" s="82"/>
    <row r="709" ht="14.25" customHeight="1" s="82"/>
    <row r="710" ht="14.25" customHeight="1" s="82"/>
    <row r="711" ht="14.25" customHeight="1" s="82"/>
    <row r="712" ht="14.25" customHeight="1" s="82"/>
    <row r="713" ht="14.25" customHeight="1" s="82"/>
    <row r="714" ht="14.25" customHeight="1" s="82"/>
    <row r="715" ht="14.25" customHeight="1" s="82"/>
    <row r="716" ht="14.25" customHeight="1" s="82"/>
    <row r="717" ht="14.25" customHeight="1" s="82"/>
    <row r="718" ht="14.25" customHeight="1" s="82"/>
    <row r="719" ht="14.25" customHeight="1" s="82"/>
    <row r="720" ht="14.25" customHeight="1" s="82"/>
    <row r="721" ht="14.25" customHeight="1" s="82"/>
    <row r="722" ht="14.25" customHeight="1" s="82"/>
    <row r="723" ht="14.25" customHeight="1" s="82"/>
    <row r="724" ht="14.25" customHeight="1" s="82"/>
    <row r="725" ht="14.25" customHeight="1" s="82"/>
    <row r="726" ht="14.25" customHeight="1" s="82"/>
    <row r="727" ht="14.25" customHeight="1" s="82"/>
    <row r="728" ht="14.25" customHeight="1" s="82"/>
    <row r="729" ht="14.25" customHeight="1" s="82"/>
    <row r="730" ht="14.25" customHeight="1" s="82"/>
    <row r="731" ht="14.25" customHeight="1" s="82"/>
    <row r="732" ht="14.25" customHeight="1" s="82"/>
    <row r="733" ht="14.25" customHeight="1" s="82"/>
    <row r="734" ht="14.25" customHeight="1" s="82"/>
    <row r="735" ht="14.25" customHeight="1" s="82"/>
    <row r="736" ht="14.25" customHeight="1" s="82"/>
    <row r="737" ht="14.25" customHeight="1" s="82"/>
    <row r="738" ht="14.25" customHeight="1" s="82"/>
    <row r="739" ht="14.25" customHeight="1" s="82"/>
    <row r="740" ht="14.25" customHeight="1" s="82"/>
    <row r="741" ht="14.25" customHeight="1" s="82"/>
    <row r="742" ht="14.25" customHeight="1" s="82"/>
    <row r="743" ht="14.25" customHeight="1" s="82"/>
    <row r="744" ht="14.25" customHeight="1" s="82"/>
    <row r="745" ht="14.25" customHeight="1" s="82"/>
    <row r="746" ht="14.25" customHeight="1" s="82"/>
    <row r="747" ht="14.25" customHeight="1" s="82"/>
    <row r="748" ht="14.25" customHeight="1" s="82"/>
    <row r="749" ht="14.25" customHeight="1" s="82"/>
    <row r="750" ht="14.25" customHeight="1" s="82"/>
    <row r="751" ht="14.25" customHeight="1" s="82"/>
    <row r="752" ht="14.25" customHeight="1" s="82"/>
    <row r="753" ht="14.25" customHeight="1" s="82"/>
    <row r="754" ht="14.25" customHeight="1" s="82"/>
    <row r="755" ht="14.25" customHeight="1" s="82"/>
    <row r="756" ht="14.25" customHeight="1" s="82"/>
    <row r="757" ht="14.25" customHeight="1" s="82"/>
    <row r="758" ht="14.25" customHeight="1" s="82"/>
    <row r="759" ht="14.25" customHeight="1" s="82"/>
    <row r="760" ht="14.25" customHeight="1" s="82"/>
    <row r="761" ht="14.25" customHeight="1" s="82"/>
    <row r="762" ht="14.25" customHeight="1" s="82"/>
    <row r="763" ht="14.25" customHeight="1" s="82"/>
    <row r="764" ht="14.25" customHeight="1" s="82"/>
    <row r="765" ht="14.25" customHeight="1" s="82"/>
    <row r="766" ht="14.25" customHeight="1" s="82"/>
    <row r="767" ht="14.25" customHeight="1" s="82"/>
    <row r="768" ht="14.25" customHeight="1" s="82"/>
    <row r="769" ht="14.25" customHeight="1" s="82"/>
    <row r="770" ht="14.25" customHeight="1" s="82"/>
    <row r="771" ht="14.25" customHeight="1" s="82"/>
    <row r="772" ht="14.25" customHeight="1" s="82"/>
    <row r="773" ht="14.25" customHeight="1" s="82"/>
    <row r="774" ht="14.25" customHeight="1" s="82"/>
    <row r="775" ht="14.25" customHeight="1" s="82"/>
    <row r="776" ht="14.25" customHeight="1" s="82"/>
    <row r="777" ht="14.25" customHeight="1" s="82"/>
    <row r="778" ht="14.25" customHeight="1" s="82"/>
    <row r="779" ht="14.25" customHeight="1" s="82"/>
    <row r="780" ht="14.25" customHeight="1" s="82"/>
    <row r="781" ht="14.25" customHeight="1" s="82"/>
    <row r="782" ht="14.25" customHeight="1" s="82"/>
    <row r="783" ht="14.25" customHeight="1" s="82"/>
    <row r="784" ht="14.25" customHeight="1" s="82"/>
    <row r="785" ht="14.25" customHeight="1" s="82"/>
    <row r="786" ht="14.25" customHeight="1" s="82"/>
    <row r="787" ht="14.25" customHeight="1" s="82"/>
    <row r="788" ht="14.25" customHeight="1" s="82"/>
    <row r="789" ht="14.25" customHeight="1" s="82"/>
    <row r="790" ht="14.25" customHeight="1" s="82"/>
    <row r="791" ht="14.25" customHeight="1" s="82"/>
    <row r="792" ht="14.25" customHeight="1" s="82"/>
    <row r="793" ht="14.25" customHeight="1" s="82"/>
    <row r="794" ht="14.25" customHeight="1" s="82"/>
    <row r="795" ht="14.25" customHeight="1" s="82"/>
    <row r="796" ht="14.25" customHeight="1" s="82"/>
    <row r="797" ht="14.25" customHeight="1" s="82"/>
    <row r="798" ht="14.25" customHeight="1" s="82"/>
    <row r="799" ht="14.25" customHeight="1" s="82"/>
    <row r="800" ht="14.25" customHeight="1" s="82"/>
    <row r="801" ht="14.25" customHeight="1" s="82"/>
    <row r="802" ht="14.25" customHeight="1" s="82"/>
    <row r="803" ht="14.25" customHeight="1" s="82"/>
    <row r="804" ht="14.25" customHeight="1" s="82"/>
    <row r="805" ht="14.25" customHeight="1" s="82"/>
    <row r="806" ht="14.25" customHeight="1" s="82"/>
    <row r="807" ht="14.25" customHeight="1" s="82"/>
    <row r="808" ht="14.25" customHeight="1" s="82"/>
    <row r="809" ht="14.25" customHeight="1" s="82"/>
    <row r="810" ht="14.25" customHeight="1" s="82"/>
    <row r="811" ht="14.25" customHeight="1" s="82"/>
    <row r="812" ht="14.25" customHeight="1" s="82"/>
    <row r="813" ht="14.25" customHeight="1" s="82"/>
    <row r="814" ht="14.25" customHeight="1" s="82"/>
    <row r="815" ht="14.25" customHeight="1" s="82"/>
    <row r="816" ht="14.25" customHeight="1" s="82"/>
    <row r="817" ht="14.25" customHeight="1" s="82"/>
    <row r="818" ht="14.25" customHeight="1" s="82"/>
    <row r="819" ht="14.25" customHeight="1" s="82"/>
    <row r="820" ht="14.25" customHeight="1" s="82"/>
    <row r="821" ht="14.25" customHeight="1" s="82"/>
    <row r="822" ht="14.25" customHeight="1" s="82"/>
    <row r="823" ht="14.25" customHeight="1" s="82"/>
    <row r="824" ht="14.25" customHeight="1" s="82"/>
    <row r="825" ht="14.25" customHeight="1" s="82"/>
    <row r="826" ht="14.25" customHeight="1" s="82"/>
    <row r="827" ht="14.25" customHeight="1" s="82"/>
    <row r="828" ht="14.25" customHeight="1" s="82"/>
    <row r="829" ht="14.25" customHeight="1" s="82"/>
    <row r="830" ht="14.25" customHeight="1" s="82"/>
    <row r="831" ht="14.25" customHeight="1" s="82"/>
    <row r="832" ht="14.25" customHeight="1" s="82"/>
    <row r="833" ht="14.25" customHeight="1" s="82"/>
    <row r="834" ht="14.25" customHeight="1" s="82"/>
    <row r="835" ht="14.25" customHeight="1" s="82"/>
    <row r="836" ht="14.25" customHeight="1" s="82"/>
    <row r="837" ht="14.25" customHeight="1" s="82"/>
    <row r="838" ht="14.25" customHeight="1" s="82"/>
    <row r="839" ht="14.25" customHeight="1" s="82"/>
    <row r="840" ht="14.25" customHeight="1" s="82"/>
    <row r="841" ht="14.25" customHeight="1" s="82"/>
    <row r="842" ht="14.25" customHeight="1" s="82"/>
    <row r="843" ht="14.25" customHeight="1" s="82"/>
    <row r="844" ht="14.25" customHeight="1" s="82"/>
    <row r="845" ht="14.25" customHeight="1" s="82"/>
    <row r="846" ht="14.25" customHeight="1" s="82"/>
    <row r="847" ht="14.25" customHeight="1" s="82"/>
    <row r="848" ht="14.25" customHeight="1" s="82"/>
    <row r="849" ht="14.25" customHeight="1" s="82"/>
    <row r="850" ht="14.25" customHeight="1" s="82"/>
    <row r="851" ht="14.25" customHeight="1" s="82"/>
    <row r="852" ht="14.25" customHeight="1" s="82"/>
    <row r="853" ht="14.25" customHeight="1" s="82"/>
    <row r="854" ht="14.25" customHeight="1" s="82"/>
    <row r="855" ht="14.25" customHeight="1" s="82"/>
    <row r="856" ht="14.25" customHeight="1" s="82"/>
    <row r="857" ht="14.25" customHeight="1" s="82"/>
    <row r="858" ht="14.25" customHeight="1" s="82"/>
    <row r="859" ht="14.25" customHeight="1" s="82"/>
    <row r="860" ht="14.25" customHeight="1" s="82"/>
    <row r="861" ht="14.25" customHeight="1" s="82"/>
    <row r="862" ht="14.25" customHeight="1" s="82"/>
    <row r="863" ht="14.25" customHeight="1" s="82"/>
    <row r="864" ht="14.25" customHeight="1" s="82"/>
    <row r="865" ht="14.25" customHeight="1" s="82"/>
    <row r="866" ht="14.25" customHeight="1" s="82"/>
    <row r="867" ht="14.25" customHeight="1" s="82"/>
    <row r="868" ht="14.25" customHeight="1" s="82"/>
    <row r="869" ht="14.25" customHeight="1" s="82"/>
    <row r="870" ht="14.25" customHeight="1" s="82"/>
    <row r="871" ht="14.25" customHeight="1" s="82"/>
    <row r="872" ht="14.25" customHeight="1" s="82"/>
    <row r="873" ht="14.25" customHeight="1" s="82"/>
    <row r="874" ht="14.25" customHeight="1" s="82"/>
    <row r="875" ht="14.25" customHeight="1" s="82"/>
    <row r="876" ht="14.25" customHeight="1" s="82"/>
    <row r="877" ht="14.25" customHeight="1" s="82"/>
    <row r="878" ht="14.25" customHeight="1" s="82"/>
    <row r="879" ht="14.25" customHeight="1" s="82"/>
    <row r="880" ht="14.25" customHeight="1" s="82"/>
    <row r="881" ht="14.25" customHeight="1" s="82"/>
    <row r="882" ht="14.25" customHeight="1" s="82"/>
    <row r="883" ht="14.25" customHeight="1" s="82"/>
    <row r="884" ht="14.25" customHeight="1" s="82"/>
    <row r="885" ht="14.25" customHeight="1" s="82"/>
    <row r="886" ht="14.25" customHeight="1" s="82"/>
    <row r="887" ht="14.25" customHeight="1" s="82"/>
    <row r="888" ht="14.25" customHeight="1" s="82"/>
    <row r="889" ht="14.25" customHeight="1" s="82"/>
    <row r="890" ht="14.25" customHeight="1" s="82"/>
    <row r="891" ht="14.25" customHeight="1" s="82"/>
    <row r="892" ht="14.25" customHeight="1" s="82"/>
    <row r="893" ht="14.25" customHeight="1" s="82"/>
    <row r="894" ht="14.25" customHeight="1" s="82"/>
    <row r="895" ht="14.25" customHeight="1" s="82"/>
    <row r="896" ht="14.25" customHeight="1" s="82"/>
    <row r="897" ht="14.25" customHeight="1" s="82"/>
    <row r="898" ht="14.25" customHeight="1" s="82"/>
    <row r="899" ht="14.25" customHeight="1" s="82"/>
    <row r="900" ht="14.25" customHeight="1" s="82"/>
    <row r="901" ht="14.25" customHeight="1" s="82"/>
    <row r="902" ht="14.25" customHeight="1" s="82"/>
    <row r="903" ht="14.25" customHeight="1" s="82"/>
    <row r="904" ht="14.25" customHeight="1" s="82"/>
    <row r="905" ht="14.25" customHeight="1" s="82"/>
    <row r="906" ht="14.25" customHeight="1" s="82"/>
    <row r="907" ht="14.25" customHeight="1" s="82"/>
    <row r="908" ht="14.25" customHeight="1" s="82"/>
    <row r="909" ht="14.25" customHeight="1" s="82"/>
    <row r="910" ht="14.25" customHeight="1" s="82"/>
    <row r="911" ht="14.25" customHeight="1" s="82"/>
    <row r="912" ht="14.25" customHeight="1" s="82"/>
    <row r="913" ht="14.25" customHeight="1" s="82"/>
    <row r="914" ht="14.25" customHeight="1" s="82"/>
    <row r="915" ht="14.25" customHeight="1" s="82"/>
    <row r="916" ht="14.25" customHeight="1" s="82"/>
    <row r="917" ht="14.25" customHeight="1" s="82"/>
    <row r="918" ht="14.25" customHeight="1" s="82"/>
    <row r="919" ht="14.25" customHeight="1" s="82"/>
    <row r="920" ht="14.25" customHeight="1" s="82"/>
    <row r="921" ht="14.25" customHeight="1" s="82"/>
    <row r="922" ht="14.25" customHeight="1" s="82"/>
    <row r="923" ht="14.25" customHeight="1" s="82"/>
    <row r="924" ht="14.25" customHeight="1" s="82"/>
    <row r="925" ht="14.25" customHeight="1" s="82"/>
    <row r="926" ht="14.25" customHeight="1" s="82"/>
    <row r="927" ht="14.25" customHeight="1" s="82"/>
    <row r="928" ht="14.25" customHeight="1" s="82"/>
    <row r="929" ht="14.25" customHeight="1" s="82"/>
    <row r="930" ht="14.25" customHeight="1" s="82"/>
    <row r="931" ht="14.25" customHeight="1" s="82"/>
    <row r="932" ht="14.25" customHeight="1" s="82"/>
    <row r="933" ht="14.25" customHeight="1" s="82"/>
    <row r="934" ht="14.25" customHeight="1" s="82"/>
    <row r="935" ht="14.25" customHeight="1" s="82"/>
    <row r="936" ht="14.25" customHeight="1" s="82"/>
    <row r="937" ht="14.25" customHeight="1" s="82"/>
    <row r="938" ht="14.25" customHeight="1" s="82"/>
    <row r="939" ht="14.25" customHeight="1" s="82"/>
    <row r="940" ht="14.25" customHeight="1" s="82"/>
    <row r="941" ht="14.25" customHeight="1" s="82"/>
    <row r="942" ht="14.25" customHeight="1" s="82"/>
    <row r="943" ht="14.25" customHeight="1" s="82"/>
    <row r="944" ht="14.25" customHeight="1" s="82"/>
    <row r="945" ht="14.25" customHeight="1" s="82"/>
    <row r="946" ht="14.25" customHeight="1" s="82"/>
    <row r="947" ht="14.25" customHeight="1" s="82"/>
    <row r="948" ht="14.25" customHeight="1" s="82"/>
    <row r="949" ht="14.25" customHeight="1" s="82"/>
    <row r="950" ht="14.25" customHeight="1" s="82"/>
    <row r="951" ht="14.25" customHeight="1" s="82"/>
    <row r="952" ht="14.25" customHeight="1" s="82"/>
    <row r="953" ht="14.25" customHeight="1" s="82"/>
    <row r="954" ht="14.25" customHeight="1" s="82"/>
    <row r="955" ht="14.25" customHeight="1" s="82"/>
    <row r="956" ht="14.25" customHeight="1" s="82"/>
    <row r="957" ht="14.25" customHeight="1" s="82"/>
    <row r="958" ht="14.25" customHeight="1" s="82"/>
    <row r="959" ht="14.25" customHeight="1" s="82"/>
    <row r="960" ht="14.25" customHeight="1" s="82"/>
    <row r="961" ht="14.25" customHeight="1" s="82"/>
    <row r="962" ht="14.25" customHeight="1" s="82"/>
    <row r="963" ht="14.25" customHeight="1" s="82"/>
    <row r="964" ht="14.25" customHeight="1" s="82"/>
    <row r="965" ht="14.25" customHeight="1" s="82"/>
    <row r="966" ht="14.25" customHeight="1" s="82"/>
    <row r="967" ht="14.25" customHeight="1" s="82"/>
    <row r="968" ht="14.25" customHeight="1" s="82"/>
    <row r="969" ht="14.25" customHeight="1" s="82"/>
    <row r="970" ht="14.25" customHeight="1" s="82"/>
    <row r="971" ht="14.25" customHeight="1" s="82"/>
    <row r="972" ht="14.25" customHeight="1" s="82"/>
    <row r="973" ht="14.25" customHeight="1" s="82"/>
    <row r="974" ht="14.25" customHeight="1" s="82"/>
    <row r="975" ht="14.25" customHeight="1" s="82"/>
    <row r="976" ht="14.25" customHeight="1" s="82"/>
    <row r="977" ht="14.25" customHeight="1" s="82"/>
    <row r="978" ht="14.25" customHeight="1" s="82"/>
    <row r="979" ht="14.25" customHeight="1" s="82"/>
    <row r="980" ht="14.25" customHeight="1" s="82"/>
    <row r="981" ht="14.25" customHeight="1" s="82"/>
    <row r="982" ht="14.25" customHeight="1" s="82"/>
    <row r="983" ht="14.25" customHeight="1" s="82"/>
    <row r="984" ht="14.25" customHeight="1" s="82"/>
    <row r="985" ht="14.25" customHeight="1" s="82"/>
    <row r="986" ht="14.25" customHeight="1" s="82"/>
    <row r="987" ht="14.25" customHeight="1" s="82"/>
    <row r="988" ht="14.25" customHeight="1" s="82"/>
    <row r="989" ht="14.25" customHeight="1" s="82"/>
    <row r="990" ht="14.25" customHeight="1" s="82"/>
    <row r="991" ht="14.25" customHeight="1" s="82"/>
    <row r="992" ht="14.25" customHeight="1" s="82"/>
    <row r="993" ht="14.25" customHeight="1" s="82"/>
    <row r="994" ht="14.25" customHeight="1" s="82"/>
    <row r="995" ht="14.25" customHeight="1" s="82"/>
    <row r="996" ht="14.25" customHeight="1" s="82"/>
    <row r="997" ht="14.25" customHeight="1" s="82"/>
    <row r="998" ht="14.25" customHeight="1" s="82"/>
    <row r="999" ht="14.25" customHeight="1" s="82"/>
    <row r="1000" ht="14.25" customHeight="1" s="82"/>
  </sheetData>
  <mergeCells count="2">
    <mergeCell ref="A1:P1"/>
    <mergeCell ref="A2:P2"/>
  </mergeCells>
  <dataValidations count="1">
    <dataValidation sqref="C4:C43" showDropDown="0" showInputMessage="0" showErrorMessage="1" allowBlank="1" type="list">
      <formula1>"Large Cap,Mid Cap,Small Cap,Flexi Cap,Multi Cap,ELSS,Hybrid,Debt,Index Fund,International,Sectoral/Thematic"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375623"/>
    <outlinePr summaryBelow="1" summaryRight="1"/>
    <pageSetUpPr/>
  </sheetPr>
  <dimension ref="A1:M5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36.71" customWidth="1" style="82" min="1" max="1"/>
    <col width="18.71" customWidth="1" style="82" min="2" max="2"/>
    <col width="9.710000000000001" customWidth="1" style="82" min="3" max="3"/>
    <col width="14.71" customWidth="1" style="82" min="4" max="5"/>
    <col width="12.71" customWidth="1" style="82" min="6" max="6"/>
    <col width="10.71" customWidth="1" style="82" min="7" max="7"/>
    <col width="11.71" customWidth="1" style="82" min="8" max="8"/>
    <col width="12.71" customWidth="1" style="82" min="9" max="9"/>
    <col width="14.71" customWidth="1" style="82" min="10" max="11"/>
    <col width="16.71" customWidth="1" style="82" min="12" max="12"/>
    <col width="30.71" customWidth="1" style="82" min="13" max="13"/>
    <col width="8.710000000000001" customWidth="1" style="82" min="14" max="26"/>
  </cols>
  <sheetData>
    <row r="1" ht="30" customHeight="1" s="82">
      <c r="A1" s="91" t="inlineStr">
        <is>
          <t>Stock Portfolio — Automated Analysis</t>
        </is>
      </c>
    </row>
    <row r="2" ht="30" customHeight="1" s="82">
      <c r="A2" s="92" t="inlineStr">
        <is>
          <t>⚙️ All columns auto-calculated from 📥 Stock Data Input. Do NOT edit this sheet. Refresh by updating prices in the input sheet.</t>
        </is>
      </c>
    </row>
    <row r="3" ht="27.75" customHeight="1" s="82">
      <c r="A3" s="33" t="inlineStr">
        <is>
          <t>Scrip Name</t>
        </is>
      </c>
      <c r="B3" s="33" t="inlineStr">
        <is>
          <t>Sector</t>
        </is>
      </c>
      <c r="C3" s="33" t="inlineStr">
        <is>
          <t>Qty</t>
        </is>
      </c>
      <c r="D3" s="33" t="inlineStr">
        <is>
          <t>Invested (₹)</t>
        </is>
      </c>
      <c r="E3" s="33" t="inlineStr">
        <is>
          <t>Current Value (₹)</t>
        </is>
      </c>
      <c r="F3" s="33" t="inlineStr">
        <is>
          <t>P&amp;L (₹)</t>
        </is>
      </c>
      <c r="G3" s="33" t="inlineStr">
        <is>
          <t>Return %</t>
        </is>
      </c>
      <c r="H3" s="33" t="inlineStr">
        <is>
          <t>Ann. XIRR %</t>
        </is>
      </c>
      <c r="I3" s="33" t="inlineStr">
        <is>
          <t>Portfolio Wt%</t>
        </is>
      </c>
      <c r="J3" s="33" t="inlineStr">
        <is>
          <t>vs 5Y CAGR</t>
        </is>
      </c>
      <c r="K3" s="33" t="inlineStr">
        <is>
          <t>vs Nifty 5Y</t>
        </is>
      </c>
      <c r="L3" s="33" t="inlineStr">
        <is>
          <t>Signal</t>
        </is>
      </c>
      <c r="M3" s="33" t="inlineStr">
        <is>
          <t>Recommended Action</t>
        </is>
      </c>
    </row>
    <row r="4" ht="18" customHeight="1" s="82">
      <c r="A4" s="59">
        <f>'📥 Stock Data Input'!A4</f>
        <v/>
      </c>
      <c r="B4" s="59">
        <f>'📥 Stock Data Input'!C4</f>
        <v/>
      </c>
      <c r="C4" s="60">
        <f>'📥 Stock Data Input'!D4</f>
        <v/>
      </c>
      <c r="D4" s="42">
        <f>'📥 Stock Data Input'!J4</f>
        <v/>
      </c>
      <c r="E4" s="42">
        <f>'📥 Stock Data Input'!K4</f>
        <v/>
      </c>
      <c r="F4" s="42">
        <f>'📥 Stock Data Input'!L4</f>
        <v/>
      </c>
      <c r="G4" s="43">
        <f>'📥 Stock Data Input'!M4</f>
        <v/>
      </c>
      <c r="H4" s="43">
        <f>'📥 Stock Data Input'!N4</f>
        <v/>
      </c>
      <c r="I4" s="43">
        <f>'📥 Stock Data Input'!O4</f>
        <v/>
      </c>
      <c r="J4" s="61">
        <f>IFERROR(IF('📥 Stock Data Input'!H4="","N/A",IF('📥 Stock Data Input'!N4&gt;'📥 Stock Data Input'!H4/100,"✅ Outperform","❌ Underperform")),"N/A")</f>
        <v/>
      </c>
      <c r="K4" s="61">
        <f>IFERROR(IF('📥 Stock Data Input'!I4="","N/A",IF('📥 Stock Data Input'!N4&gt;'📥 Stock Data Input'!I4/100,"✅ Beat Nifty","❌ Lag Nifty")),"N/A")</f>
        <v/>
      </c>
      <c r="L4" s="61">
        <f>IFERROR(IF('📥 Stock Data Input'!A4="","",IF('📥 Stock Data Input'!K4&lt;5000,"⚠️ Tiny Position",IF('📥 Stock Data Input'!N4&lt;0,"🔴 In Loss",IF(AND('📥 Stock Data Input'!I4&lt;&gt;"",'📥 Stock Data Input'!N4&lt;'📥 Stock Data Input'!I4/100),"🟡 Underperform",IF('📥 Stock Data Input'!N4&gt;0.2,"🟢 Strong","🔵 Hold"))))),"")</f>
        <v/>
      </c>
      <c r="M4" s="62">
        <f>IFERROR(IF('📥 Stock Data Input'!A4="","",IF('📥 Stock Data Input'!K4&lt;5000,"Add qty meaningfully or exit — position too small to matter",IF('📥 Stock Data Input'!N4&lt;-0.2,"Consider exit — loss &gt;20%; re-evaluate thesis",IF(AND('📥 Stock Data Input'!I4&lt;&gt;"",'📥 Stock Data Input'!N4&lt;'📥 Stock Data Input'!I4/100),"Lagging benchmark — review thesis; rotate if 2+ years",IF('📥 Stock Data Input'!N4&gt;0.2,"Strong compounder — hold; consider adding on dips","Hold — monitor quarterly; no immediate action"))))),"")</f>
        <v/>
      </c>
    </row>
    <row r="5" ht="18" customHeight="1" s="82">
      <c r="A5" s="63">
        <f>'📥 Stock Data Input'!A5</f>
        <v/>
      </c>
      <c r="B5" s="63">
        <f>'📥 Stock Data Input'!C5</f>
        <v/>
      </c>
      <c r="C5" s="64">
        <f>'📥 Stock Data Input'!D5</f>
        <v/>
      </c>
      <c r="D5" s="51">
        <f>'📥 Stock Data Input'!J5</f>
        <v/>
      </c>
      <c r="E5" s="51">
        <f>'📥 Stock Data Input'!K5</f>
        <v/>
      </c>
      <c r="F5" s="51">
        <f>'📥 Stock Data Input'!L5</f>
        <v/>
      </c>
      <c r="G5" s="52">
        <f>'📥 Stock Data Input'!M5</f>
        <v/>
      </c>
      <c r="H5" s="52">
        <f>'📥 Stock Data Input'!N5</f>
        <v/>
      </c>
      <c r="I5" s="52">
        <f>'📥 Stock Data Input'!O5</f>
        <v/>
      </c>
      <c r="J5" s="65">
        <f>IFERROR(IF('📥 Stock Data Input'!H5="","N/A",IF('📥 Stock Data Input'!N5&gt;'📥 Stock Data Input'!H5/100,"✅ Outperform","❌ Underperform")),"N/A")</f>
        <v/>
      </c>
      <c r="K5" s="65">
        <f>IFERROR(IF('📥 Stock Data Input'!I5="","N/A",IF('📥 Stock Data Input'!N5&gt;'📥 Stock Data Input'!I5/100,"✅ Beat Nifty","❌ Lag Nifty")),"N/A")</f>
        <v/>
      </c>
      <c r="L5" s="65">
        <f>IFERROR(IF('📥 Stock Data Input'!A5="","",IF('📥 Stock Data Input'!K5&lt;5000,"⚠️ Tiny Position",IF('📥 Stock Data Input'!N5&lt;0,"🔴 In Loss",IF(AND('📥 Stock Data Input'!I5&lt;&gt;"",'📥 Stock Data Input'!N5&lt;'📥 Stock Data Input'!I5/100),"🟡 Underperform",IF('📥 Stock Data Input'!N5&gt;0.2,"🟢 Strong","🔵 Hold"))))),"")</f>
        <v/>
      </c>
      <c r="M5" s="66">
        <f>IFERROR(IF('📥 Stock Data Input'!A5="","",IF('📥 Stock Data Input'!K5&lt;5000,"Add qty meaningfully or exit — position too small to matter",IF('📥 Stock Data Input'!N5&lt;-0.2,"Consider exit — loss &gt;20%; re-evaluate thesis",IF(AND('📥 Stock Data Input'!I5&lt;&gt;"",'📥 Stock Data Input'!N5&lt;'📥 Stock Data Input'!I5/100),"Lagging benchmark — review thesis; rotate if 2+ years",IF('📥 Stock Data Input'!N5&gt;0.2,"Strong compounder — hold; consider adding on dips","Hold — monitor quarterly; no immediate action"))))),"")</f>
        <v/>
      </c>
    </row>
    <row r="6" ht="18" customHeight="1" s="82">
      <c r="A6" s="59">
        <f>'📥 Stock Data Input'!A6</f>
        <v/>
      </c>
      <c r="B6" s="59">
        <f>'📥 Stock Data Input'!C6</f>
        <v/>
      </c>
      <c r="C6" s="60">
        <f>'📥 Stock Data Input'!D6</f>
        <v/>
      </c>
      <c r="D6" s="42">
        <f>'📥 Stock Data Input'!J6</f>
        <v/>
      </c>
      <c r="E6" s="42">
        <f>'📥 Stock Data Input'!K6</f>
        <v/>
      </c>
      <c r="F6" s="42">
        <f>'📥 Stock Data Input'!L6</f>
        <v/>
      </c>
      <c r="G6" s="43">
        <f>'📥 Stock Data Input'!M6</f>
        <v/>
      </c>
      <c r="H6" s="43">
        <f>'📥 Stock Data Input'!N6</f>
        <v/>
      </c>
      <c r="I6" s="43">
        <f>'📥 Stock Data Input'!O6</f>
        <v/>
      </c>
      <c r="J6" s="61">
        <f>IFERROR(IF('📥 Stock Data Input'!H6="","N/A",IF('📥 Stock Data Input'!N6&gt;'📥 Stock Data Input'!H6/100,"✅ Outperform","❌ Underperform")),"N/A")</f>
        <v/>
      </c>
      <c r="K6" s="61">
        <f>IFERROR(IF('📥 Stock Data Input'!I6="","N/A",IF('📥 Stock Data Input'!N6&gt;'📥 Stock Data Input'!I6/100,"✅ Beat Nifty","❌ Lag Nifty")),"N/A")</f>
        <v/>
      </c>
      <c r="L6" s="61">
        <f>IFERROR(IF('📥 Stock Data Input'!A6="","",IF('📥 Stock Data Input'!K6&lt;5000,"⚠️ Tiny Position",IF('📥 Stock Data Input'!N6&lt;0,"🔴 In Loss",IF(AND('📥 Stock Data Input'!I6&lt;&gt;"",'📥 Stock Data Input'!N6&lt;'📥 Stock Data Input'!I6/100),"🟡 Underperform",IF('📥 Stock Data Input'!N6&gt;0.2,"🟢 Strong","🔵 Hold"))))),"")</f>
        <v/>
      </c>
      <c r="M6" s="62">
        <f>IFERROR(IF('📥 Stock Data Input'!A6="","",IF('📥 Stock Data Input'!K6&lt;5000,"Add qty meaningfully or exit — position too small to matter",IF('📥 Stock Data Input'!N6&lt;-0.2,"Consider exit — loss &gt;20%; re-evaluate thesis",IF(AND('📥 Stock Data Input'!I6&lt;&gt;"",'📥 Stock Data Input'!N6&lt;'📥 Stock Data Input'!I6/100),"Lagging benchmark — review thesis; rotate if 2+ years",IF('📥 Stock Data Input'!N6&gt;0.2,"Strong compounder — hold; consider adding on dips","Hold — monitor quarterly; no immediate action"))))),"")</f>
        <v/>
      </c>
    </row>
    <row r="7" ht="18" customHeight="1" s="82">
      <c r="A7" s="63">
        <f>'📥 Stock Data Input'!A7</f>
        <v/>
      </c>
      <c r="B7" s="63">
        <f>'📥 Stock Data Input'!C7</f>
        <v/>
      </c>
      <c r="C7" s="64">
        <f>'📥 Stock Data Input'!D7</f>
        <v/>
      </c>
      <c r="D7" s="51">
        <f>'📥 Stock Data Input'!J7</f>
        <v/>
      </c>
      <c r="E7" s="51">
        <f>'📥 Stock Data Input'!K7</f>
        <v/>
      </c>
      <c r="F7" s="51">
        <f>'📥 Stock Data Input'!L7</f>
        <v/>
      </c>
      <c r="G7" s="52">
        <f>'📥 Stock Data Input'!M7</f>
        <v/>
      </c>
      <c r="H7" s="52">
        <f>'📥 Stock Data Input'!N7</f>
        <v/>
      </c>
      <c r="I7" s="52">
        <f>'📥 Stock Data Input'!O7</f>
        <v/>
      </c>
      <c r="J7" s="65">
        <f>IFERROR(IF('📥 Stock Data Input'!H7="","N/A",IF('📥 Stock Data Input'!N7&gt;'📥 Stock Data Input'!H7/100,"✅ Outperform","❌ Underperform")),"N/A")</f>
        <v/>
      </c>
      <c r="K7" s="65">
        <f>IFERROR(IF('📥 Stock Data Input'!I7="","N/A",IF('📥 Stock Data Input'!N7&gt;'📥 Stock Data Input'!I7/100,"✅ Beat Nifty","❌ Lag Nifty")),"N/A")</f>
        <v/>
      </c>
      <c r="L7" s="65">
        <f>IFERROR(IF('📥 Stock Data Input'!A7="","",IF('📥 Stock Data Input'!K7&lt;5000,"⚠️ Tiny Position",IF('📥 Stock Data Input'!N7&lt;0,"🔴 In Loss",IF(AND('📥 Stock Data Input'!I7&lt;&gt;"",'📥 Stock Data Input'!N7&lt;'📥 Stock Data Input'!I7/100),"🟡 Underperform",IF('📥 Stock Data Input'!N7&gt;0.2,"🟢 Strong","🔵 Hold"))))),"")</f>
        <v/>
      </c>
      <c r="M7" s="66">
        <f>IFERROR(IF('📥 Stock Data Input'!A7="","",IF('📥 Stock Data Input'!K7&lt;5000,"Add qty meaningfully or exit — position too small to matter",IF('📥 Stock Data Input'!N7&lt;-0.2,"Consider exit — loss &gt;20%; re-evaluate thesis",IF(AND('📥 Stock Data Input'!I7&lt;&gt;"",'📥 Stock Data Input'!N7&lt;'📥 Stock Data Input'!I7/100),"Lagging benchmark — review thesis; rotate if 2+ years",IF('📥 Stock Data Input'!N7&gt;0.2,"Strong compounder — hold; consider adding on dips","Hold — monitor quarterly; no immediate action"))))),"")</f>
        <v/>
      </c>
    </row>
    <row r="8" ht="18" customHeight="1" s="82">
      <c r="A8" s="59">
        <f>'📥 Stock Data Input'!A8</f>
        <v/>
      </c>
      <c r="B8" s="59">
        <f>'📥 Stock Data Input'!C8</f>
        <v/>
      </c>
      <c r="C8" s="60">
        <f>'📥 Stock Data Input'!D8</f>
        <v/>
      </c>
      <c r="D8" s="42">
        <f>'📥 Stock Data Input'!J8</f>
        <v/>
      </c>
      <c r="E8" s="42">
        <f>'📥 Stock Data Input'!K8</f>
        <v/>
      </c>
      <c r="F8" s="42">
        <f>'📥 Stock Data Input'!L8</f>
        <v/>
      </c>
      <c r="G8" s="43">
        <f>'📥 Stock Data Input'!M8</f>
        <v/>
      </c>
      <c r="H8" s="43">
        <f>'📥 Stock Data Input'!N8</f>
        <v/>
      </c>
      <c r="I8" s="43">
        <f>'📥 Stock Data Input'!O8</f>
        <v/>
      </c>
      <c r="J8" s="61">
        <f>IFERROR(IF('📥 Stock Data Input'!H8="","N/A",IF('📥 Stock Data Input'!N8&gt;'📥 Stock Data Input'!H8/100,"✅ Outperform","❌ Underperform")),"N/A")</f>
        <v/>
      </c>
      <c r="K8" s="61">
        <f>IFERROR(IF('📥 Stock Data Input'!I8="","N/A",IF('📥 Stock Data Input'!N8&gt;'📥 Stock Data Input'!I8/100,"✅ Beat Nifty","❌ Lag Nifty")),"N/A")</f>
        <v/>
      </c>
      <c r="L8" s="61">
        <f>IFERROR(IF('📥 Stock Data Input'!A8="","",IF('📥 Stock Data Input'!K8&lt;5000,"⚠️ Tiny Position",IF('📥 Stock Data Input'!N8&lt;0,"🔴 In Loss",IF(AND('📥 Stock Data Input'!I8&lt;&gt;"",'📥 Stock Data Input'!N8&lt;'📥 Stock Data Input'!I8/100),"🟡 Underperform",IF('📥 Stock Data Input'!N8&gt;0.2,"🟢 Strong","🔵 Hold"))))),"")</f>
        <v/>
      </c>
      <c r="M8" s="62">
        <f>IFERROR(IF('📥 Stock Data Input'!A8="","",IF('📥 Stock Data Input'!K8&lt;5000,"Add qty meaningfully or exit — position too small to matter",IF('📥 Stock Data Input'!N8&lt;-0.2,"Consider exit — loss &gt;20%; re-evaluate thesis",IF(AND('📥 Stock Data Input'!I8&lt;&gt;"",'📥 Stock Data Input'!N8&lt;'📥 Stock Data Input'!I8/100),"Lagging benchmark — review thesis; rotate if 2+ years",IF('📥 Stock Data Input'!N8&gt;0.2,"Strong compounder — hold; consider adding on dips","Hold — monitor quarterly; no immediate action"))))),"")</f>
        <v/>
      </c>
    </row>
    <row r="9" ht="18" customHeight="1" s="82">
      <c r="A9" s="63">
        <f>'📥 Stock Data Input'!A9</f>
        <v/>
      </c>
      <c r="B9" s="63">
        <f>'📥 Stock Data Input'!C9</f>
        <v/>
      </c>
      <c r="C9" s="64">
        <f>'📥 Stock Data Input'!D9</f>
        <v/>
      </c>
      <c r="D9" s="51">
        <f>'📥 Stock Data Input'!J9</f>
        <v/>
      </c>
      <c r="E9" s="51">
        <f>'📥 Stock Data Input'!K9</f>
        <v/>
      </c>
      <c r="F9" s="51">
        <f>'📥 Stock Data Input'!L9</f>
        <v/>
      </c>
      <c r="G9" s="52">
        <f>'📥 Stock Data Input'!M9</f>
        <v/>
      </c>
      <c r="H9" s="52">
        <f>'📥 Stock Data Input'!N9</f>
        <v/>
      </c>
      <c r="I9" s="52">
        <f>'📥 Stock Data Input'!O9</f>
        <v/>
      </c>
      <c r="J9" s="65">
        <f>IFERROR(IF('📥 Stock Data Input'!H9="","N/A",IF('📥 Stock Data Input'!N9&gt;'📥 Stock Data Input'!H9/100,"✅ Outperform","❌ Underperform")),"N/A")</f>
        <v/>
      </c>
      <c r="K9" s="65">
        <f>IFERROR(IF('📥 Stock Data Input'!I9="","N/A",IF('📥 Stock Data Input'!N9&gt;'📥 Stock Data Input'!I9/100,"✅ Beat Nifty","❌ Lag Nifty")),"N/A")</f>
        <v/>
      </c>
      <c r="L9" s="65">
        <f>IFERROR(IF('📥 Stock Data Input'!A9="","",IF('📥 Stock Data Input'!K9&lt;5000,"⚠️ Tiny Position",IF('📥 Stock Data Input'!N9&lt;0,"🔴 In Loss",IF(AND('📥 Stock Data Input'!I9&lt;&gt;"",'📥 Stock Data Input'!N9&lt;'📥 Stock Data Input'!I9/100),"🟡 Underperform",IF('📥 Stock Data Input'!N9&gt;0.2,"🟢 Strong","🔵 Hold"))))),"")</f>
        <v/>
      </c>
      <c r="M9" s="66">
        <f>IFERROR(IF('📥 Stock Data Input'!A9="","",IF('📥 Stock Data Input'!K9&lt;5000,"Add qty meaningfully or exit — position too small to matter",IF('📥 Stock Data Input'!N9&lt;-0.2,"Consider exit — loss &gt;20%; re-evaluate thesis",IF(AND('📥 Stock Data Input'!I9&lt;&gt;"",'📥 Stock Data Input'!N9&lt;'📥 Stock Data Input'!I9/100),"Lagging benchmark — review thesis; rotate if 2+ years",IF('📥 Stock Data Input'!N9&gt;0.2,"Strong compounder — hold; consider adding on dips","Hold — monitor quarterly; no immediate action"))))),"")</f>
        <v/>
      </c>
    </row>
    <row r="10" ht="18" customHeight="1" s="82">
      <c r="A10" s="59">
        <f>'📥 Stock Data Input'!A10</f>
        <v/>
      </c>
      <c r="B10" s="59">
        <f>'📥 Stock Data Input'!C10</f>
        <v/>
      </c>
      <c r="C10" s="60">
        <f>'📥 Stock Data Input'!D10</f>
        <v/>
      </c>
      <c r="D10" s="42">
        <f>'📥 Stock Data Input'!J10</f>
        <v/>
      </c>
      <c r="E10" s="42">
        <f>'📥 Stock Data Input'!K10</f>
        <v/>
      </c>
      <c r="F10" s="42">
        <f>'📥 Stock Data Input'!L10</f>
        <v/>
      </c>
      <c r="G10" s="43">
        <f>'📥 Stock Data Input'!M10</f>
        <v/>
      </c>
      <c r="H10" s="43">
        <f>'📥 Stock Data Input'!N10</f>
        <v/>
      </c>
      <c r="I10" s="43">
        <f>'📥 Stock Data Input'!O10</f>
        <v/>
      </c>
      <c r="J10" s="61">
        <f>IFERROR(IF('📥 Stock Data Input'!H10="","N/A",IF('📥 Stock Data Input'!N10&gt;'📥 Stock Data Input'!H10/100,"✅ Outperform","❌ Underperform")),"N/A")</f>
        <v/>
      </c>
      <c r="K10" s="61">
        <f>IFERROR(IF('📥 Stock Data Input'!I10="","N/A",IF('📥 Stock Data Input'!N10&gt;'📥 Stock Data Input'!I10/100,"✅ Beat Nifty","❌ Lag Nifty")),"N/A")</f>
        <v/>
      </c>
      <c r="L10" s="61">
        <f>IFERROR(IF('📥 Stock Data Input'!A10="","",IF('📥 Stock Data Input'!K10&lt;5000,"⚠️ Tiny Position",IF('📥 Stock Data Input'!N10&lt;0,"🔴 In Loss",IF(AND('📥 Stock Data Input'!I10&lt;&gt;"",'📥 Stock Data Input'!N10&lt;'📥 Stock Data Input'!I10/100),"🟡 Underperform",IF('📥 Stock Data Input'!N10&gt;0.2,"🟢 Strong","🔵 Hold"))))),"")</f>
        <v/>
      </c>
      <c r="M10" s="62">
        <f>IFERROR(IF('📥 Stock Data Input'!A10="","",IF('📥 Stock Data Input'!K10&lt;5000,"Add qty meaningfully or exit — position too small to matter",IF('📥 Stock Data Input'!N10&lt;-0.2,"Consider exit — loss &gt;20%; re-evaluate thesis",IF(AND('📥 Stock Data Input'!I10&lt;&gt;"",'📥 Stock Data Input'!N10&lt;'📥 Stock Data Input'!I10/100),"Lagging benchmark — review thesis; rotate if 2+ years",IF('📥 Stock Data Input'!N10&gt;0.2,"Strong compounder — hold; consider adding on dips","Hold — monitor quarterly; no immediate action"))))),"")</f>
        <v/>
      </c>
    </row>
    <row r="11" ht="18" customHeight="1" s="82">
      <c r="A11" s="63">
        <f>'📥 Stock Data Input'!A11</f>
        <v/>
      </c>
      <c r="B11" s="63">
        <f>'📥 Stock Data Input'!C11</f>
        <v/>
      </c>
      <c r="C11" s="64">
        <f>'📥 Stock Data Input'!D11</f>
        <v/>
      </c>
      <c r="D11" s="51">
        <f>'📥 Stock Data Input'!J11</f>
        <v/>
      </c>
      <c r="E11" s="51">
        <f>'📥 Stock Data Input'!K11</f>
        <v/>
      </c>
      <c r="F11" s="51">
        <f>'📥 Stock Data Input'!L11</f>
        <v/>
      </c>
      <c r="G11" s="52">
        <f>'📥 Stock Data Input'!M11</f>
        <v/>
      </c>
      <c r="H11" s="52">
        <f>'📥 Stock Data Input'!N11</f>
        <v/>
      </c>
      <c r="I11" s="52">
        <f>'📥 Stock Data Input'!O11</f>
        <v/>
      </c>
      <c r="J11" s="65">
        <f>IFERROR(IF('📥 Stock Data Input'!H11="","N/A",IF('📥 Stock Data Input'!N11&gt;'📥 Stock Data Input'!H11/100,"✅ Outperform","❌ Underperform")),"N/A")</f>
        <v/>
      </c>
      <c r="K11" s="65">
        <f>IFERROR(IF('📥 Stock Data Input'!I11="","N/A",IF('📥 Stock Data Input'!N11&gt;'📥 Stock Data Input'!I11/100,"✅ Beat Nifty","❌ Lag Nifty")),"N/A")</f>
        <v/>
      </c>
      <c r="L11" s="65">
        <f>IFERROR(IF('📥 Stock Data Input'!A11="","",IF('📥 Stock Data Input'!K11&lt;5000,"⚠️ Tiny Position",IF('📥 Stock Data Input'!N11&lt;0,"🔴 In Loss",IF(AND('📥 Stock Data Input'!I11&lt;&gt;"",'📥 Stock Data Input'!N11&lt;'📥 Stock Data Input'!I11/100),"🟡 Underperform",IF('📥 Stock Data Input'!N11&gt;0.2,"🟢 Strong","🔵 Hold"))))),"")</f>
        <v/>
      </c>
      <c r="M11" s="66">
        <f>IFERROR(IF('📥 Stock Data Input'!A11="","",IF('📥 Stock Data Input'!K11&lt;5000,"Add qty meaningfully or exit — position too small to matter",IF('📥 Stock Data Input'!N11&lt;-0.2,"Consider exit — loss &gt;20%; re-evaluate thesis",IF(AND('📥 Stock Data Input'!I11&lt;&gt;"",'📥 Stock Data Input'!N11&lt;'📥 Stock Data Input'!I11/100),"Lagging benchmark — review thesis; rotate if 2+ years",IF('📥 Stock Data Input'!N11&gt;0.2,"Strong compounder — hold; consider adding on dips","Hold — monitor quarterly; no immediate action"))))),"")</f>
        <v/>
      </c>
    </row>
    <row r="12" ht="18" customHeight="1" s="82">
      <c r="A12" s="59">
        <f>'📥 Stock Data Input'!A12</f>
        <v/>
      </c>
      <c r="B12" s="59">
        <f>'📥 Stock Data Input'!C12</f>
        <v/>
      </c>
      <c r="C12" s="60">
        <f>'📥 Stock Data Input'!D12</f>
        <v/>
      </c>
      <c r="D12" s="42">
        <f>'📥 Stock Data Input'!J12</f>
        <v/>
      </c>
      <c r="E12" s="42">
        <f>'📥 Stock Data Input'!K12</f>
        <v/>
      </c>
      <c r="F12" s="42">
        <f>'📥 Stock Data Input'!L12</f>
        <v/>
      </c>
      <c r="G12" s="43">
        <f>'📥 Stock Data Input'!M12</f>
        <v/>
      </c>
      <c r="H12" s="43">
        <f>'📥 Stock Data Input'!N12</f>
        <v/>
      </c>
      <c r="I12" s="43">
        <f>'📥 Stock Data Input'!O12</f>
        <v/>
      </c>
      <c r="J12" s="61">
        <f>IFERROR(IF('📥 Stock Data Input'!H12="","N/A",IF('📥 Stock Data Input'!N12&gt;'📥 Stock Data Input'!H12/100,"✅ Outperform","❌ Underperform")),"N/A")</f>
        <v/>
      </c>
      <c r="K12" s="61">
        <f>IFERROR(IF('📥 Stock Data Input'!I12="","N/A",IF('📥 Stock Data Input'!N12&gt;'📥 Stock Data Input'!I12/100,"✅ Beat Nifty","❌ Lag Nifty")),"N/A")</f>
        <v/>
      </c>
      <c r="L12" s="61">
        <f>IFERROR(IF('📥 Stock Data Input'!A12="","",IF('📥 Stock Data Input'!K12&lt;5000,"⚠️ Tiny Position",IF('📥 Stock Data Input'!N12&lt;0,"🔴 In Loss",IF(AND('📥 Stock Data Input'!I12&lt;&gt;"",'📥 Stock Data Input'!N12&lt;'📥 Stock Data Input'!I12/100),"🟡 Underperform",IF('📥 Stock Data Input'!N12&gt;0.2,"🟢 Strong","🔵 Hold"))))),"")</f>
        <v/>
      </c>
      <c r="M12" s="62">
        <f>IFERROR(IF('📥 Stock Data Input'!A12="","",IF('📥 Stock Data Input'!K12&lt;5000,"Add qty meaningfully or exit — position too small to matter",IF('📥 Stock Data Input'!N12&lt;-0.2,"Consider exit — loss &gt;20%; re-evaluate thesis",IF(AND('📥 Stock Data Input'!I12&lt;&gt;"",'📥 Stock Data Input'!N12&lt;'📥 Stock Data Input'!I12/100),"Lagging benchmark — review thesis; rotate if 2+ years",IF('📥 Stock Data Input'!N12&gt;0.2,"Strong compounder — hold; consider adding on dips","Hold — monitor quarterly; no immediate action"))))),"")</f>
        <v/>
      </c>
    </row>
    <row r="13" ht="18" customHeight="1" s="82">
      <c r="A13" s="63">
        <f>'📥 Stock Data Input'!A13</f>
        <v/>
      </c>
      <c r="B13" s="63">
        <f>'📥 Stock Data Input'!C13</f>
        <v/>
      </c>
      <c r="C13" s="64">
        <f>'📥 Stock Data Input'!D13</f>
        <v/>
      </c>
      <c r="D13" s="51">
        <f>'📥 Stock Data Input'!J13</f>
        <v/>
      </c>
      <c r="E13" s="51">
        <f>'📥 Stock Data Input'!K13</f>
        <v/>
      </c>
      <c r="F13" s="51">
        <f>'📥 Stock Data Input'!L13</f>
        <v/>
      </c>
      <c r="G13" s="52">
        <f>'📥 Stock Data Input'!M13</f>
        <v/>
      </c>
      <c r="H13" s="52">
        <f>'📥 Stock Data Input'!N13</f>
        <v/>
      </c>
      <c r="I13" s="52">
        <f>'📥 Stock Data Input'!O13</f>
        <v/>
      </c>
      <c r="J13" s="65">
        <f>IFERROR(IF('📥 Stock Data Input'!H13="","N/A",IF('📥 Stock Data Input'!N13&gt;'📥 Stock Data Input'!H13/100,"✅ Outperform","❌ Underperform")),"N/A")</f>
        <v/>
      </c>
      <c r="K13" s="65">
        <f>IFERROR(IF('📥 Stock Data Input'!I13="","N/A",IF('📥 Stock Data Input'!N13&gt;'📥 Stock Data Input'!I13/100,"✅ Beat Nifty","❌ Lag Nifty")),"N/A")</f>
        <v/>
      </c>
      <c r="L13" s="65">
        <f>IFERROR(IF('📥 Stock Data Input'!A13="","",IF('📥 Stock Data Input'!K13&lt;5000,"⚠️ Tiny Position",IF('📥 Stock Data Input'!N13&lt;0,"🔴 In Loss",IF(AND('📥 Stock Data Input'!I13&lt;&gt;"",'📥 Stock Data Input'!N13&lt;'📥 Stock Data Input'!I13/100),"🟡 Underperform",IF('📥 Stock Data Input'!N13&gt;0.2,"🟢 Strong","🔵 Hold"))))),"")</f>
        <v/>
      </c>
      <c r="M13" s="66">
        <f>IFERROR(IF('📥 Stock Data Input'!A13="","",IF('📥 Stock Data Input'!K13&lt;5000,"Add qty meaningfully or exit — position too small to matter",IF('📥 Stock Data Input'!N13&lt;-0.2,"Consider exit — loss &gt;20%; re-evaluate thesis",IF(AND('📥 Stock Data Input'!I13&lt;&gt;"",'📥 Stock Data Input'!N13&lt;'📥 Stock Data Input'!I13/100),"Lagging benchmark — review thesis; rotate if 2+ years",IF('📥 Stock Data Input'!N13&gt;0.2,"Strong compounder — hold; consider adding on dips","Hold — monitor quarterly; no immediate action"))))),"")</f>
        <v/>
      </c>
    </row>
    <row r="14" ht="18" customHeight="1" s="82">
      <c r="A14" s="59">
        <f>'📥 Stock Data Input'!A14</f>
        <v/>
      </c>
      <c r="B14" s="59">
        <f>'📥 Stock Data Input'!C14</f>
        <v/>
      </c>
      <c r="C14" s="60">
        <f>'📥 Stock Data Input'!D14</f>
        <v/>
      </c>
      <c r="D14" s="42">
        <f>'📥 Stock Data Input'!J14</f>
        <v/>
      </c>
      <c r="E14" s="42">
        <f>'📥 Stock Data Input'!K14</f>
        <v/>
      </c>
      <c r="F14" s="42">
        <f>'📥 Stock Data Input'!L14</f>
        <v/>
      </c>
      <c r="G14" s="43">
        <f>'📥 Stock Data Input'!M14</f>
        <v/>
      </c>
      <c r="H14" s="43">
        <f>'📥 Stock Data Input'!N14</f>
        <v/>
      </c>
      <c r="I14" s="43">
        <f>'📥 Stock Data Input'!O14</f>
        <v/>
      </c>
      <c r="J14" s="61">
        <f>IFERROR(IF('📥 Stock Data Input'!H14="","N/A",IF('📥 Stock Data Input'!N14&gt;'📥 Stock Data Input'!H14/100,"✅ Outperform","❌ Underperform")),"N/A")</f>
        <v/>
      </c>
      <c r="K14" s="61">
        <f>IFERROR(IF('📥 Stock Data Input'!I14="","N/A",IF('📥 Stock Data Input'!N14&gt;'📥 Stock Data Input'!I14/100,"✅ Beat Nifty","❌ Lag Nifty")),"N/A")</f>
        <v/>
      </c>
      <c r="L14" s="61">
        <f>IFERROR(IF('📥 Stock Data Input'!A14="","",IF('📥 Stock Data Input'!K14&lt;5000,"⚠️ Tiny Position",IF('📥 Stock Data Input'!N14&lt;0,"🔴 In Loss",IF(AND('📥 Stock Data Input'!I14&lt;&gt;"",'📥 Stock Data Input'!N14&lt;'📥 Stock Data Input'!I14/100),"🟡 Underperform",IF('📥 Stock Data Input'!N14&gt;0.2,"🟢 Strong","🔵 Hold"))))),"")</f>
        <v/>
      </c>
      <c r="M14" s="62">
        <f>IFERROR(IF('📥 Stock Data Input'!A14="","",IF('📥 Stock Data Input'!K14&lt;5000,"Add qty meaningfully or exit — position too small to matter",IF('📥 Stock Data Input'!N14&lt;-0.2,"Consider exit — loss &gt;20%; re-evaluate thesis",IF(AND('📥 Stock Data Input'!I14&lt;&gt;"",'📥 Stock Data Input'!N14&lt;'📥 Stock Data Input'!I14/100),"Lagging benchmark — review thesis; rotate if 2+ years",IF('📥 Stock Data Input'!N14&gt;0.2,"Strong compounder — hold; consider adding on dips","Hold — monitor quarterly; no immediate action"))))),"")</f>
        <v/>
      </c>
    </row>
    <row r="15" ht="18" customHeight="1" s="82">
      <c r="A15" s="63">
        <f>'📥 Stock Data Input'!A15</f>
        <v/>
      </c>
      <c r="B15" s="63">
        <f>'📥 Stock Data Input'!C15</f>
        <v/>
      </c>
      <c r="C15" s="64">
        <f>'📥 Stock Data Input'!D15</f>
        <v/>
      </c>
      <c r="D15" s="51">
        <f>'📥 Stock Data Input'!J15</f>
        <v/>
      </c>
      <c r="E15" s="51">
        <f>'📥 Stock Data Input'!K15</f>
        <v/>
      </c>
      <c r="F15" s="51">
        <f>'📥 Stock Data Input'!L15</f>
        <v/>
      </c>
      <c r="G15" s="52">
        <f>'📥 Stock Data Input'!M15</f>
        <v/>
      </c>
      <c r="H15" s="52">
        <f>'📥 Stock Data Input'!N15</f>
        <v/>
      </c>
      <c r="I15" s="52">
        <f>'📥 Stock Data Input'!O15</f>
        <v/>
      </c>
      <c r="J15" s="65">
        <f>IFERROR(IF('📥 Stock Data Input'!H15="","N/A",IF('📥 Stock Data Input'!N15&gt;'📥 Stock Data Input'!H15/100,"✅ Outperform","❌ Underperform")),"N/A")</f>
        <v/>
      </c>
      <c r="K15" s="65">
        <f>IFERROR(IF('📥 Stock Data Input'!I15="","N/A",IF('📥 Stock Data Input'!N15&gt;'📥 Stock Data Input'!I15/100,"✅ Beat Nifty","❌ Lag Nifty")),"N/A")</f>
        <v/>
      </c>
      <c r="L15" s="65">
        <f>IFERROR(IF('📥 Stock Data Input'!A15="","",IF('📥 Stock Data Input'!K15&lt;5000,"⚠️ Tiny Position",IF('📥 Stock Data Input'!N15&lt;0,"🔴 In Loss",IF(AND('📥 Stock Data Input'!I15&lt;&gt;"",'📥 Stock Data Input'!N15&lt;'📥 Stock Data Input'!I15/100),"🟡 Underperform",IF('📥 Stock Data Input'!N15&gt;0.2,"🟢 Strong","🔵 Hold"))))),"")</f>
        <v/>
      </c>
      <c r="M15" s="66">
        <f>IFERROR(IF('📥 Stock Data Input'!A15="","",IF('📥 Stock Data Input'!K15&lt;5000,"Add qty meaningfully or exit — position too small to matter",IF('📥 Stock Data Input'!N15&lt;-0.2,"Consider exit — loss &gt;20%; re-evaluate thesis",IF(AND('📥 Stock Data Input'!I15&lt;&gt;"",'📥 Stock Data Input'!N15&lt;'📥 Stock Data Input'!I15/100),"Lagging benchmark — review thesis; rotate if 2+ years",IF('📥 Stock Data Input'!N15&gt;0.2,"Strong compounder — hold; consider adding on dips","Hold — monitor quarterly; no immediate action"))))),"")</f>
        <v/>
      </c>
    </row>
    <row r="16" ht="18" customHeight="1" s="82">
      <c r="A16" s="59">
        <f>'📥 Stock Data Input'!A16</f>
        <v/>
      </c>
      <c r="B16" s="59">
        <f>'📥 Stock Data Input'!C16</f>
        <v/>
      </c>
      <c r="C16" s="60">
        <f>'📥 Stock Data Input'!D16</f>
        <v/>
      </c>
      <c r="D16" s="42">
        <f>'📥 Stock Data Input'!J16</f>
        <v/>
      </c>
      <c r="E16" s="42">
        <f>'📥 Stock Data Input'!K16</f>
        <v/>
      </c>
      <c r="F16" s="42">
        <f>'📥 Stock Data Input'!L16</f>
        <v/>
      </c>
      <c r="G16" s="43">
        <f>'📥 Stock Data Input'!M16</f>
        <v/>
      </c>
      <c r="H16" s="43">
        <f>'📥 Stock Data Input'!N16</f>
        <v/>
      </c>
      <c r="I16" s="43">
        <f>'📥 Stock Data Input'!O16</f>
        <v/>
      </c>
      <c r="J16" s="61">
        <f>IFERROR(IF('📥 Stock Data Input'!H16="","N/A",IF('📥 Stock Data Input'!N16&gt;'📥 Stock Data Input'!H16/100,"✅ Outperform","❌ Underperform")),"N/A")</f>
        <v/>
      </c>
      <c r="K16" s="61">
        <f>IFERROR(IF('📥 Stock Data Input'!I16="","N/A",IF('📥 Stock Data Input'!N16&gt;'📥 Stock Data Input'!I16/100,"✅ Beat Nifty","❌ Lag Nifty")),"N/A")</f>
        <v/>
      </c>
      <c r="L16" s="61">
        <f>IFERROR(IF('📥 Stock Data Input'!A16="","",IF('📥 Stock Data Input'!K16&lt;5000,"⚠️ Tiny Position",IF('📥 Stock Data Input'!N16&lt;0,"🔴 In Loss",IF(AND('📥 Stock Data Input'!I16&lt;&gt;"",'📥 Stock Data Input'!N16&lt;'📥 Stock Data Input'!I16/100),"🟡 Underperform",IF('📥 Stock Data Input'!N16&gt;0.2,"🟢 Strong","🔵 Hold"))))),"")</f>
        <v/>
      </c>
      <c r="M16" s="62">
        <f>IFERROR(IF('📥 Stock Data Input'!A16="","",IF('📥 Stock Data Input'!K16&lt;5000,"Add qty meaningfully or exit — position too small to matter",IF('📥 Stock Data Input'!N16&lt;-0.2,"Consider exit — loss &gt;20%; re-evaluate thesis",IF(AND('📥 Stock Data Input'!I16&lt;&gt;"",'📥 Stock Data Input'!N16&lt;'📥 Stock Data Input'!I16/100),"Lagging benchmark — review thesis; rotate if 2+ years",IF('📥 Stock Data Input'!N16&gt;0.2,"Strong compounder — hold; consider adding on dips","Hold — monitor quarterly; no immediate action"))))),"")</f>
        <v/>
      </c>
    </row>
    <row r="17" ht="18" customHeight="1" s="82">
      <c r="A17" s="63">
        <f>'📥 Stock Data Input'!A17</f>
        <v/>
      </c>
      <c r="B17" s="63">
        <f>'📥 Stock Data Input'!C17</f>
        <v/>
      </c>
      <c r="C17" s="64">
        <f>'📥 Stock Data Input'!D17</f>
        <v/>
      </c>
      <c r="D17" s="51">
        <f>'📥 Stock Data Input'!J17</f>
        <v/>
      </c>
      <c r="E17" s="51">
        <f>'📥 Stock Data Input'!K17</f>
        <v/>
      </c>
      <c r="F17" s="51">
        <f>'📥 Stock Data Input'!L17</f>
        <v/>
      </c>
      <c r="G17" s="52">
        <f>'📥 Stock Data Input'!M17</f>
        <v/>
      </c>
      <c r="H17" s="52">
        <f>'📥 Stock Data Input'!N17</f>
        <v/>
      </c>
      <c r="I17" s="52">
        <f>'📥 Stock Data Input'!O17</f>
        <v/>
      </c>
      <c r="J17" s="65">
        <f>IFERROR(IF('📥 Stock Data Input'!H17="","N/A",IF('📥 Stock Data Input'!N17&gt;'📥 Stock Data Input'!H17/100,"✅ Outperform","❌ Underperform")),"N/A")</f>
        <v/>
      </c>
      <c r="K17" s="65">
        <f>IFERROR(IF('📥 Stock Data Input'!I17="","N/A",IF('📥 Stock Data Input'!N17&gt;'📥 Stock Data Input'!I17/100,"✅ Beat Nifty","❌ Lag Nifty")),"N/A")</f>
        <v/>
      </c>
      <c r="L17" s="65">
        <f>IFERROR(IF('📥 Stock Data Input'!A17="","",IF('📥 Stock Data Input'!K17&lt;5000,"⚠️ Tiny Position",IF('📥 Stock Data Input'!N17&lt;0,"🔴 In Loss",IF(AND('📥 Stock Data Input'!I17&lt;&gt;"",'📥 Stock Data Input'!N17&lt;'📥 Stock Data Input'!I17/100),"🟡 Underperform",IF('📥 Stock Data Input'!N17&gt;0.2,"🟢 Strong","🔵 Hold"))))),"")</f>
        <v/>
      </c>
      <c r="M17" s="66">
        <f>IFERROR(IF('📥 Stock Data Input'!A17="","",IF('📥 Stock Data Input'!K17&lt;5000,"Add qty meaningfully or exit — position too small to matter",IF('📥 Stock Data Input'!N17&lt;-0.2,"Consider exit — loss &gt;20%; re-evaluate thesis",IF(AND('📥 Stock Data Input'!I17&lt;&gt;"",'📥 Stock Data Input'!N17&lt;'📥 Stock Data Input'!I17/100),"Lagging benchmark — review thesis; rotate if 2+ years",IF('📥 Stock Data Input'!N17&gt;0.2,"Strong compounder — hold; consider adding on dips","Hold — monitor quarterly; no immediate action"))))),"")</f>
        <v/>
      </c>
    </row>
    <row r="18" ht="18" customHeight="1" s="82">
      <c r="A18" s="59">
        <f>'📥 Stock Data Input'!A18</f>
        <v/>
      </c>
      <c r="B18" s="59">
        <f>'📥 Stock Data Input'!C18</f>
        <v/>
      </c>
      <c r="C18" s="60">
        <f>'📥 Stock Data Input'!D18</f>
        <v/>
      </c>
      <c r="D18" s="42">
        <f>'📥 Stock Data Input'!J18</f>
        <v/>
      </c>
      <c r="E18" s="42">
        <f>'📥 Stock Data Input'!K18</f>
        <v/>
      </c>
      <c r="F18" s="42">
        <f>'📥 Stock Data Input'!L18</f>
        <v/>
      </c>
      <c r="G18" s="43">
        <f>'📥 Stock Data Input'!M18</f>
        <v/>
      </c>
      <c r="H18" s="43">
        <f>'📥 Stock Data Input'!N18</f>
        <v/>
      </c>
      <c r="I18" s="43">
        <f>'📥 Stock Data Input'!O18</f>
        <v/>
      </c>
      <c r="J18" s="61">
        <f>IFERROR(IF('📥 Stock Data Input'!H18="","N/A",IF('📥 Stock Data Input'!N18&gt;'📥 Stock Data Input'!H18/100,"✅ Outperform","❌ Underperform")),"N/A")</f>
        <v/>
      </c>
      <c r="K18" s="61">
        <f>IFERROR(IF('📥 Stock Data Input'!I18="","N/A",IF('📥 Stock Data Input'!N18&gt;'📥 Stock Data Input'!I18/100,"✅ Beat Nifty","❌ Lag Nifty")),"N/A")</f>
        <v/>
      </c>
      <c r="L18" s="61">
        <f>IFERROR(IF('📥 Stock Data Input'!A18="","",IF('📥 Stock Data Input'!K18&lt;5000,"⚠️ Tiny Position",IF('📥 Stock Data Input'!N18&lt;0,"🔴 In Loss",IF(AND('📥 Stock Data Input'!I18&lt;&gt;"",'📥 Stock Data Input'!N18&lt;'📥 Stock Data Input'!I18/100),"🟡 Underperform",IF('📥 Stock Data Input'!N18&gt;0.2,"🟢 Strong","🔵 Hold"))))),"")</f>
        <v/>
      </c>
      <c r="M18" s="62">
        <f>IFERROR(IF('📥 Stock Data Input'!A18="","",IF('📥 Stock Data Input'!K18&lt;5000,"Add qty meaningfully or exit — position too small to matter",IF('📥 Stock Data Input'!N18&lt;-0.2,"Consider exit — loss &gt;20%; re-evaluate thesis",IF(AND('📥 Stock Data Input'!I18&lt;&gt;"",'📥 Stock Data Input'!N18&lt;'📥 Stock Data Input'!I18/100),"Lagging benchmark — review thesis; rotate if 2+ years",IF('📥 Stock Data Input'!N18&gt;0.2,"Strong compounder — hold; consider adding on dips","Hold — monitor quarterly; no immediate action"))))),"")</f>
        <v/>
      </c>
    </row>
    <row r="19" ht="18" customHeight="1" s="82">
      <c r="A19" s="63">
        <f>'📥 Stock Data Input'!A19</f>
        <v/>
      </c>
      <c r="B19" s="63">
        <f>'📥 Stock Data Input'!C19</f>
        <v/>
      </c>
      <c r="C19" s="64">
        <f>'📥 Stock Data Input'!D19</f>
        <v/>
      </c>
      <c r="D19" s="51">
        <f>'📥 Stock Data Input'!J19</f>
        <v/>
      </c>
      <c r="E19" s="51">
        <f>'📥 Stock Data Input'!K19</f>
        <v/>
      </c>
      <c r="F19" s="51">
        <f>'📥 Stock Data Input'!L19</f>
        <v/>
      </c>
      <c r="G19" s="52">
        <f>'📥 Stock Data Input'!M19</f>
        <v/>
      </c>
      <c r="H19" s="52">
        <f>'📥 Stock Data Input'!N19</f>
        <v/>
      </c>
      <c r="I19" s="52">
        <f>'📥 Stock Data Input'!O19</f>
        <v/>
      </c>
      <c r="J19" s="65">
        <f>IFERROR(IF('📥 Stock Data Input'!H19="","N/A",IF('📥 Stock Data Input'!N19&gt;'📥 Stock Data Input'!H19/100,"✅ Outperform","❌ Underperform")),"N/A")</f>
        <v/>
      </c>
      <c r="K19" s="65">
        <f>IFERROR(IF('📥 Stock Data Input'!I19="","N/A",IF('📥 Stock Data Input'!N19&gt;'📥 Stock Data Input'!I19/100,"✅ Beat Nifty","❌ Lag Nifty")),"N/A")</f>
        <v/>
      </c>
      <c r="L19" s="65">
        <f>IFERROR(IF('📥 Stock Data Input'!A19="","",IF('📥 Stock Data Input'!K19&lt;5000,"⚠️ Tiny Position",IF('📥 Stock Data Input'!N19&lt;0,"🔴 In Loss",IF(AND('📥 Stock Data Input'!I19&lt;&gt;"",'📥 Stock Data Input'!N19&lt;'📥 Stock Data Input'!I19/100),"🟡 Underperform",IF('📥 Stock Data Input'!N19&gt;0.2,"🟢 Strong","🔵 Hold"))))),"")</f>
        <v/>
      </c>
      <c r="M19" s="66">
        <f>IFERROR(IF('📥 Stock Data Input'!A19="","",IF('📥 Stock Data Input'!K19&lt;5000,"Add qty meaningfully or exit — position too small to matter",IF('📥 Stock Data Input'!N19&lt;-0.2,"Consider exit — loss &gt;20%; re-evaluate thesis",IF(AND('📥 Stock Data Input'!I19&lt;&gt;"",'📥 Stock Data Input'!N19&lt;'📥 Stock Data Input'!I19/100),"Lagging benchmark — review thesis; rotate if 2+ years",IF('📥 Stock Data Input'!N19&gt;0.2,"Strong compounder — hold; consider adding on dips","Hold — monitor quarterly; no immediate action"))))),"")</f>
        <v/>
      </c>
    </row>
    <row r="20" ht="18" customHeight="1" s="82">
      <c r="A20" s="59">
        <f>'📥 Stock Data Input'!A20</f>
        <v/>
      </c>
      <c r="B20" s="59">
        <f>'📥 Stock Data Input'!C20</f>
        <v/>
      </c>
      <c r="C20" s="60">
        <f>'📥 Stock Data Input'!D20</f>
        <v/>
      </c>
      <c r="D20" s="42">
        <f>'📥 Stock Data Input'!J20</f>
        <v/>
      </c>
      <c r="E20" s="42">
        <f>'📥 Stock Data Input'!K20</f>
        <v/>
      </c>
      <c r="F20" s="42">
        <f>'📥 Stock Data Input'!L20</f>
        <v/>
      </c>
      <c r="G20" s="43">
        <f>'📥 Stock Data Input'!M20</f>
        <v/>
      </c>
      <c r="H20" s="43">
        <f>'📥 Stock Data Input'!N20</f>
        <v/>
      </c>
      <c r="I20" s="43">
        <f>'📥 Stock Data Input'!O20</f>
        <v/>
      </c>
      <c r="J20" s="61">
        <f>IFERROR(IF('📥 Stock Data Input'!H20="","N/A",IF('📥 Stock Data Input'!N20&gt;'📥 Stock Data Input'!H20/100,"✅ Outperform","❌ Underperform")),"N/A")</f>
        <v/>
      </c>
      <c r="K20" s="61">
        <f>IFERROR(IF('📥 Stock Data Input'!I20="","N/A",IF('📥 Stock Data Input'!N20&gt;'📥 Stock Data Input'!I20/100,"✅ Beat Nifty","❌ Lag Nifty")),"N/A")</f>
        <v/>
      </c>
      <c r="L20" s="61">
        <f>IFERROR(IF('📥 Stock Data Input'!A20="","",IF('📥 Stock Data Input'!K20&lt;5000,"⚠️ Tiny Position",IF('📥 Stock Data Input'!N20&lt;0,"🔴 In Loss",IF(AND('📥 Stock Data Input'!I20&lt;&gt;"",'📥 Stock Data Input'!N20&lt;'📥 Stock Data Input'!I20/100),"🟡 Underperform",IF('📥 Stock Data Input'!N20&gt;0.2,"🟢 Strong","🔵 Hold"))))),"")</f>
        <v/>
      </c>
      <c r="M20" s="62">
        <f>IFERROR(IF('📥 Stock Data Input'!A20="","",IF('📥 Stock Data Input'!K20&lt;5000,"Add qty meaningfully or exit — position too small to matter",IF('📥 Stock Data Input'!N20&lt;-0.2,"Consider exit — loss &gt;20%; re-evaluate thesis",IF(AND('📥 Stock Data Input'!I20&lt;&gt;"",'📥 Stock Data Input'!N20&lt;'📥 Stock Data Input'!I20/100),"Lagging benchmark — review thesis; rotate if 2+ years",IF('📥 Stock Data Input'!N20&gt;0.2,"Strong compounder — hold; consider adding on dips","Hold — monitor quarterly; no immediate action"))))),"")</f>
        <v/>
      </c>
    </row>
    <row r="21" ht="18" customHeight="1" s="82">
      <c r="A21" s="63">
        <f>'📥 Stock Data Input'!A21</f>
        <v/>
      </c>
      <c r="B21" s="63">
        <f>'📥 Stock Data Input'!C21</f>
        <v/>
      </c>
      <c r="C21" s="64">
        <f>'📥 Stock Data Input'!D21</f>
        <v/>
      </c>
      <c r="D21" s="51">
        <f>'📥 Stock Data Input'!J21</f>
        <v/>
      </c>
      <c r="E21" s="51">
        <f>'📥 Stock Data Input'!K21</f>
        <v/>
      </c>
      <c r="F21" s="51">
        <f>'📥 Stock Data Input'!L21</f>
        <v/>
      </c>
      <c r="G21" s="52">
        <f>'📥 Stock Data Input'!M21</f>
        <v/>
      </c>
      <c r="H21" s="52">
        <f>'📥 Stock Data Input'!N21</f>
        <v/>
      </c>
      <c r="I21" s="52">
        <f>'📥 Stock Data Input'!O21</f>
        <v/>
      </c>
      <c r="J21" s="65">
        <f>IFERROR(IF('📥 Stock Data Input'!H21="","N/A",IF('📥 Stock Data Input'!N21&gt;'📥 Stock Data Input'!H21/100,"✅ Outperform","❌ Underperform")),"N/A")</f>
        <v/>
      </c>
      <c r="K21" s="65">
        <f>IFERROR(IF('📥 Stock Data Input'!I21="","N/A",IF('📥 Stock Data Input'!N21&gt;'📥 Stock Data Input'!I21/100,"✅ Beat Nifty","❌ Lag Nifty")),"N/A")</f>
        <v/>
      </c>
      <c r="L21" s="65">
        <f>IFERROR(IF('📥 Stock Data Input'!A21="","",IF('📥 Stock Data Input'!K21&lt;5000,"⚠️ Tiny Position",IF('📥 Stock Data Input'!N21&lt;0,"🔴 In Loss",IF(AND('📥 Stock Data Input'!I21&lt;&gt;"",'📥 Stock Data Input'!N21&lt;'📥 Stock Data Input'!I21/100),"🟡 Underperform",IF('📥 Stock Data Input'!N21&gt;0.2,"🟢 Strong","🔵 Hold"))))),"")</f>
        <v/>
      </c>
      <c r="M21" s="66">
        <f>IFERROR(IF('📥 Stock Data Input'!A21="","",IF('📥 Stock Data Input'!K21&lt;5000,"Add qty meaningfully or exit — position too small to matter",IF('📥 Stock Data Input'!N21&lt;-0.2,"Consider exit — loss &gt;20%; re-evaluate thesis",IF(AND('📥 Stock Data Input'!I21&lt;&gt;"",'📥 Stock Data Input'!N21&lt;'📥 Stock Data Input'!I21/100),"Lagging benchmark — review thesis; rotate if 2+ years",IF('📥 Stock Data Input'!N21&gt;0.2,"Strong compounder — hold; consider adding on dips","Hold — monitor quarterly; no immediate action"))))),"")</f>
        <v/>
      </c>
    </row>
    <row r="22" ht="18" customHeight="1" s="82">
      <c r="A22" s="59">
        <f>'📥 Stock Data Input'!A22</f>
        <v/>
      </c>
      <c r="B22" s="59">
        <f>'📥 Stock Data Input'!C22</f>
        <v/>
      </c>
      <c r="C22" s="60">
        <f>'📥 Stock Data Input'!D22</f>
        <v/>
      </c>
      <c r="D22" s="42">
        <f>'📥 Stock Data Input'!J22</f>
        <v/>
      </c>
      <c r="E22" s="42">
        <f>'📥 Stock Data Input'!K22</f>
        <v/>
      </c>
      <c r="F22" s="42">
        <f>'📥 Stock Data Input'!L22</f>
        <v/>
      </c>
      <c r="G22" s="43">
        <f>'📥 Stock Data Input'!M22</f>
        <v/>
      </c>
      <c r="H22" s="43">
        <f>'📥 Stock Data Input'!N22</f>
        <v/>
      </c>
      <c r="I22" s="43">
        <f>'📥 Stock Data Input'!O22</f>
        <v/>
      </c>
      <c r="J22" s="61">
        <f>IFERROR(IF('📥 Stock Data Input'!H22="","N/A",IF('📥 Stock Data Input'!N22&gt;'📥 Stock Data Input'!H22/100,"✅ Outperform","❌ Underperform")),"N/A")</f>
        <v/>
      </c>
      <c r="K22" s="61">
        <f>IFERROR(IF('📥 Stock Data Input'!I22="","N/A",IF('📥 Stock Data Input'!N22&gt;'📥 Stock Data Input'!I22/100,"✅ Beat Nifty","❌ Lag Nifty")),"N/A")</f>
        <v/>
      </c>
      <c r="L22" s="61">
        <f>IFERROR(IF('📥 Stock Data Input'!A22="","",IF('📥 Stock Data Input'!K22&lt;5000,"⚠️ Tiny Position",IF('📥 Stock Data Input'!N22&lt;0,"🔴 In Loss",IF(AND('📥 Stock Data Input'!I22&lt;&gt;"",'📥 Stock Data Input'!N22&lt;'📥 Stock Data Input'!I22/100),"🟡 Underperform",IF('📥 Stock Data Input'!N22&gt;0.2,"🟢 Strong","🔵 Hold"))))),"")</f>
        <v/>
      </c>
      <c r="M22" s="62">
        <f>IFERROR(IF('📥 Stock Data Input'!A22="","",IF('📥 Stock Data Input'!K22&lt;5000,"Add qty meaningfully or exit — position too small to matter",IF('📥 Stock Data Input'!N22&lt;-0.2,"Consider exit — loss &gt;20%; re-evaluate thesis",IF(AND('📥 Stock Data Input'!I22&lt;&gt;"",'📥 Stock Data Input'!N22&lt;'📥 Stock Data Input'!I22/100),"Lagging benchmark — review thesis; rotate if 2+ years",IF('📥 Stock Data Input'!N22&gt;0.2,"Strong compounder — hold; consider adding on dips","Hold — monitor quarterly; no immediate action"))))),"")</f>
        <v/>
      </c>
    </row>
    <row r="23" ht="18" customHeight="1" s="82">
      <c r="A23" s="63">
        <f>'📥 Stock Data Input'!A23</f>
        <v/>
      </c>
      <c r="B23" s="63">
        <f>'📥 Stock Data Input'!C23</f>
        <v/>
      </c>
      <c r="C23" s="64">
        <f>'📥 Stock Data Input'!D23</f>
        <v/>
      </c>
      <c r="D23" s="51">
        <f>'📥 Stock Data Input'!J23</f>
        <v/>
      </c>
      <c r="E23" s="51">
        <f>'📥 Stock Data Input'!K23</f>
        <v/>
      </c>
      <c r="F23" s="51">
        <f>'📥 Stock Data Input'!L23</f>
        <v/>
      </c>
      <c r="G23" s="52">
        <f>'📥 Stock Data Input'!M23</f>
        <v/>
      </c>
      <c r="H23" s="52">
        <f>'📥 Stock Data Input'!N23</f>
        <v/>
      </c>
      <c r="I23" s="52">
        <f>'📥 Stock Data Input'!O23</f>
        <v/>
      </c>
      <c r="J23" s="65">
        <f>IFERROR(IF('📥 Stock Data Input'!H23="","N/A",IF('📥 Stock Data Input'!N23&gt;'📥 Stock Data Input'!H23/100,"✅ Outperform","❌ Underperform")),"N/A")</f>
        <v/>
      </c>
      <c r="K23" s="65">
        <f>IFERROR(IF('📥 Stock Data Input'!I23="","N/A",IF('📥 Stock Data Input'!N23&gt;'📥 Stock Data Input'!I23/100,"✅ Beat Nifty","❌ Lag Nifty")),"N/A")</f>
        <v/>
      </c>
      <c r="L23" s="65">
        <f>IFERROR(IF('📥 Stock Data Input'!A23="","",IF('📥 Stock Data Input'!K23&lt;5000,"⚠️ Tiny Position",IF('📥 Stock Data Input'!N23&lt;0,"🔴 In Loss",IF(AND('📥 Stock Data Input'!I23&lt;&gt;"",'📥 Stock Data Input'!N23&lt;'📥 Stock Data Input'!I23/100),"🟡 Underperform",IF('📥 Stock Data Input'!N23&gt;0.2,"🟢 Strong","🔵 Hold"))))),"")</f>
        <v/>
      </c>
      <c r="M23" s="66">
        <f>IFERROR(IF('📥 Stock Data Input'!A23="","",IF('📥 Stock Data Input'!K23&lt;5000,"Add qty meaningfully or exit — position too small to matter",IF('📥 Stock Data Input'!N23&lt;-0.2,"Consider exit — loss &gt;20%; re-evaluate thesis",IF(AND('📥 Stock Data Input'!I23&lt;&gt;"",'📥 Stock Data Input'!N23&lt;'📥 Stock Data Input'!I23/100),"Lagging benchmark — review thesis; rotate if 2+ years",IF('📥 Stock Data Input'!N23&gt;0.2,"Strong compounder — hold; consider adding on dips","Hold — monitor quarterly; no immediate action"))))),"")</f>
        <v/>
      </c>
    </row>
    <row r="24" ht="18" customHeight="1" s="82">
      <c r="A24" s="59">
        <f>'📥 Stock Data Input'!A24</f>
        <v/>
      </c>
      <c r="B24" s="59">
        <f>'📥 Stock Data Input'!C24</f>
        <v/>
      </c>
      <c r="C24" s="60">
        <f>'📥 Stock Data Input'!D24</f>
        <v/>
      </c>
      <c r="D24" s="42">
        <f>'📥 Stock Data Input'!J24</f>
        <v/>
      </c>
      <c r="E24" s="42">
        <f>'📥 Stock Data Input'!K24</f>
        <v/>
      </c>
      <c r="F24" s="42">
        <f>'📥 Stock Data Input'!L24</f>
        <v/>
      </c>
      <c r="G24" s="43">
        <f>'📥 Stock Data Input'!M24</f>
        <v/>
      </c>
      <c r="H24" s="43">
        <f>'📥 Stock Data Input'!N24</f>
        <v/>
      </c>
      <c r="I24" s="43">
        <f>'📥 Stock Data Input'!O24</f>
        <v/>
      </c>
      <c r="J24" s="61">
        <f>IFERROR(IF('📥 Stock Data Input'!H24="","N/A",IF('📥 Stock Data Input'!N24&gt;'📥 Stock Data Input'!H24/100,"✅ Outperform","❌ Underperform")),"N/A")</f>
        <v/>
      </c>
      <c r="K24" s="61">
        <f>IFERROR(IF('📥 Stock Data Input'!I24="","N/A",IF('📥 Stock Data Input'!N24&gt;'📥 Stock Data Input'!I24/100,"✅ Beat Nifty","❌ Lag Nifty")),"N/A")</f>
        <v/>
      </c>
      <c r="L24" s="61">
        <f>IFERROR(IF('📥 Stock Data Input'!A24="","",IF('📥 Stock Data Input'!K24&lt;5000,"⚠️ Tiny Position",IF('📥 Stock Data Input'!N24&lt;0,"🔴 In Loss",IF(AND('📥 Stock Data Input'!I24&lt;&gt;"",'📥 Stock Data Input'!N24&lt;'📥 Stock Data Input'!I24/100),"🟡 Underperform",IF('📥 Stock Data Input'!N24&gt;0.2,"🟢 Strong","🔵 Hold"))))),"")</f>
        <v/>
      </c>
      <c r="M24" s="62">
        <f>IFERROR(IF('📥 Stock Data Input'!A24="","",IF('📥 Stock Data Input'!K24&lt;5000,"Add qty meaningfully or exit — position too small to matter",IF('📥 Stock Data Input'!N24&lt;-0.2,"Consider exit — loss &gt;20%; re-evaluate thesis",IF(AND('📥 Stock Data Input'!I24&lt;&gt;"",'📥 Stock Data Input'!N24&lt;'📥 Stock Data Input'!I24/100),"Lagging benchmark — review thesis; rotate if 2+ years",IF('📥 Stock Data Input'!N24&gt;0.2,"Strong compounder — hold; consider adding on dips","Hold — monitor quarterly; no immediate action"))))),"")</f>
        <v/>
      </c>
    </row>
    <row r="25" ht="18" customHeight="1" s="82">
      <c r="A25" s="63">
        <f>'📥 Stock Data Input'!A25</f>
        <v/>
      </c>
      <c r="B25" s="63">
        <f>'📥 Stock Data Input'!C25</f>
        <v/>
      </c>
      <c r="C25" s="64">
        <f>'📥 Stock Data Input'!D25</f>
        <v/>
      </c>
      <c r="D25" s="51">
        <f>'📥 Stock Data Input'!J25</f>
        <v/>
      </c>
      <c r="E25" s="51">
        <f>'📥 Stock Data Input'!K25</f>
        <v/>
      </c>
      <c r="F25" s="51">
        <f>'📥 Stock Data Input'!L25</f>
        <v/>
      </c>
      <c r="G25" s="52">
        <f>'📥 Stock Data Input'!M25</f>
        <v/>
      </c>
      <c r="H25" s="52">
        <f>'📥 Stock Data Input'!N25</f>
        <v/>
      </c>
      <c r="I25" s="52">
        <f>'📥 Stock Data Input'!O25</f>
        <v/>
      </c>
      <c r="J25" s="65">
        <f>IFERROR(IF('📥 Stock Data Input'!H25="","N/A",IF('📥 Stock Data Input'!N25&gt;'📥 Stock Data Input'!H25/100,"✅ Outperform","❌ Underperform")),"N/A")</f>
        <v/>
      </c>
      <c r="K25" s="65">
        <f>IFERROR(IF('📥 Stock Data Input'!I25="","N/A",IF('📥 Stock Data Input'!N25&gt;'📥 Stock Data Input'!I25/100,"✅ Beat Nifty","❌ Lag Nifty")),"N/A")</f>
        <v/>
      </c>
      <c r="L25" s="65">
        <f>IFERROR(IF('📥 Stock Data Input'!A25="","",IF('📥 Stock Data Input'!K25&lt;5000,"⚠️ Tiny Position",IF('📥 Stock Data Input'!N25&lt;0,"🔴 In Loss",IF(AND('📥 Stock Data Input'!I25&lt;&gt;"",'📥 Stock Data Input'!N25&lt;'📥 Stock Data Input'!I25/100),"🟡 Underperform",IF('📥 Stock Data Input'!N25&gt;0.2,"🟢 Strong","🔵 Hold"))))),"")</f>
        <v/>
      </c>
      <c r="M25" s="66">
        <f>IFERROR(IF('📥 Stock Data Input'!A25="","",IF('📥 Stock Data Input'!K25&lt;5000,"Add qty meaningfully or exit — position too small to matter",IF('📥 Stock Data Input'!N25&lt;-0.2,"Consider exit — loss &gt;20%; re-evaluate thesis",IF(AND('📥 Stock Data Input'!I25&lt;&gt;"",'📥 Stock Data Input'!N25&lt;'📥 Stock Data Input'!I25/100),"Lagging benchmark — review thesis; rotate if 2+ years",IF('📥 Stock Data Input'!N25&gt;0.2,"Strong compounder — hold; consider adding on dips","Hold — monitor quarterly; no immediate action"))))),"")</f>
        <v/>
      </c>
    </row>
    <row r="26" ht="18" customHeight="1" s="82">
      <c r="A26" s="59">
        <f>'📥 Stock Data Input'!A26</f>
        <v/>
      </c>
      <c r="B26" s="59">
        <f>'📥 Stock Data Input'!C26</f>
        <v/>
      </c>
      <c r="C26" s="60">
        <f>'📥 Stock Data Input'!D26</f>
        <v/>
      </c>
      <c r="D26" s="42">
        <f>'📥 Stock Data Input'!J26</f>
        <v/>
      </c>
      <c r="E26" s="42">
        <f>'📥 Stock Data Input'!K26</f>
        <v/>
      </c>
      <c r="F26" s="42">
        <f>'📥 Stock Data Input'!L26</f>
        <v/>
      </c>
      <c r="G26" s="43">
        <f>'📥 Stock Data Input'!M26</f>
        <v/>
      </c>
      <c r="H26" s="43">
        <f>'📥 Stock Data Input'!N26</f>
        <v/>
      </c>
      <c r="I26" s="43">
        <f>'📥 Stock Data Input'!O26</f>
        <v/>
      </c>
      <c r="J26" s="61">
        <f>IFERROR(IF('📥 Stock Data Input'!H26="","N/A",IF('📥 Stock Data Input'!N26&gt;'📥 Stock Data Input'!H26/100,"✅ Outperform","❌ Underperform")),"N/A")</f>
        <v/>
      </c>
      <c r="K26" s="61">
        <f>IFERROR(IF('📥 Stock Data Input'!I26="","N/A",IF('📥 Stock Data Input'!N26&gt;'📥 Stock Data Input'!I26/100,"✅ Beat Nifty","❌ Lag Nifty")),"N/A")</f>
        <v/>
      </c>
      <c r="L26" s="61">
        <f>IFERROR(IF('📥 Stock Data Input'!A26="","",IF('📥 Stock Data Input'!K26&lt;5000,"⚠️ Tiny Position",IF('📥 Stock Data Input'!N26&lt;0,"🔴 In Loss",IF(AND('📥 Stock Data Input'!I26&lt;&gt;"",'📥 Stock Data Input'!N26&lt;'📥 Stock Data Input'!I26/100),"🟡 Underperform",IF('📥 Stock Data Input'!N26&gt;0.2,"🟢 Strong","🔵 Hold"))))),"")</f>
        <v/>
      </c>
      <c r="M26" s="62">
        <f>IFERROR(IF('📥 Stock Data Input'!A26="","",IF('📥 Stock Data Input'!K26&lt;5000,"Add qty meaningfully or exit — position too small to matter",IF('📥 Stock Data Input'!N26&lt;-0.2,"Consider exit — loss &gt;20%; re-evaluate thesis",IF(AND('📥 Stock Data Input'!I26&lt;&gt;"",'📥 Stock Data Input'!N26&lt;'📥 Stock Data Input'!I26/100),"Lagging benchmark — review thesis; rotate if 2+ years",IF('📥 Stock Data Input'!N26&gt;0.2,"Strong compounder — hold; consider adding on dips","Hold — monitor quarterly; no immediate action"))))),"")</f>
        <v/>
      </c>
    </row>
    <row r="27" ht="18" customHeight="1" s="82">
      <c r="A27" s="63">
        <f>'📥 Stock Data Input'!A27</f>
        <v/>
      </c>
      <c r="B27" s="63">
        <f>'📥 Stock Data Input'!C27</f>
        <v/>
      </c>
      <c r="C27" s="64">
        <f>'📥 Stock Data Input'!D27</f>
        <v/>
      </c>
      <c r="D27" s="51">
        <f>'📥 Stock Data Input'!J27</f>
        <v/>
      </c>
      <c r="E27" s="51">
        <f>'📥 Stock Data Input'!K27</f>
        <v/>
      </c>
      <c r="F27" s="51">
        <f>'📥 Stock Data Input'!L27</f>
        <v/>
      </c>
      <c r="G27" s="52">
        <f>'📥 Stock Data Input'!M27</f>
        <v/>
      </c>
      <c r="H27" s="52">
        <f>'📥 Stock Data Input'!N27</f>
        <v/>
      </c>
      <c r="I27" s="52">
        <f>'📥 Stock Data Input'!O27</f>
        <v/>
      </c>
      <c r="J27" s="65">
        <f>IFERROR(IF('📥 Stock Data Input'!H27="","N/A",IF('📥 Stock Data Input'!N27&gt;'📥 Stock Data Input'!H27/100,"✅ Outperform","❌ Underperform")),"N/A")</f>
        <v/>
      </c>
      <c r="K27" s="65">
        <f>IFERROR(IF('📥 Stock Data Input'!I27="","N/A",IF('📥 Stock Data Input'!N27&gt;'📥 Stock Data Input'!I27/100,"✅ Beat Nifty","❌ Lag Nifty")),"N/A")</f>
        <v/>
      </c>
      <c r="L27" s="65">
        <f>IFERROR(IF('📥 Stock Data Input'!A27="","",IF('📥 Stock Data Input'!K27&lt;5000,"⚠️ Tiny Position",IF('📥 Stock Data Input'!N27&lt;0,"🔴 In Loss",IF(AND('📥 Stock Data Input'!I27&lt;&gt;"",'📥 Stock Data Input'!N27&lt;'📥 Stock Data Input'!I27/100),"🟡 Underperform",IF('📥 Stock Data Input'!N27&gt;0.2,"🟢 Strong","🔵 Hold"))))),"")</f>
        <v/>
      </c>
      <c r="M27" s="66">
        <f>IFERROR(IF('📥 Stock Data Input'!A27="","",IF('📥 Stock Data Input'!K27&lt;5000,"Add qty meaningfully or exit — position too small to matter",IF('📥 Stock Data Input'!N27&lt;-0.2,"Consider exit — loss &gt;20%; re-evaluate thesis",IF(AND('📥 Stock Data Input'!I27&lt;&gt;"",'📥 Stock Data Input'!N27&lt;'📥 Stock Data Input'!I27/100),"Lagging benchmark — review thesis; rotate if 2+ years",IF('📥 Stock Data Input'!N27&gt;0.2,"Strong compounder — hold; consider adding on dips","Hold — monitor quarterly; no immediate action"))))),"")</f>
        <v/>
      </c>
    </row>
    <row r="28" ht="18" customHeight="1" s="82">
      <c r="A28" s="59">
        <f>'📥 Stock Data Input'!A28</f>
        <v/>
      </c>
      <c r="B28" s="59">
        <f>'📥 Stock Data Input'!C28</f>
        <v/>
      </c>
      <c r="C28" s="60">
        <f>'📥 Stock Data Input'!D28</f>
        <v/>
      </c>
      <c r="D28" s="42">
        <f>'📥 Stock Data Input'!J28</f>
        <v/>
      </c>
      <c r="E28" s="42">
        <f>'📥 Stock Data Input'!K28</f>
        <v/>
      </c>
      <c r="F28" s="42">
        <f>'📥 Stock Data Input'!L28</f>
        <v/>
      </c>
      <c r="G28" s="43">
        <f>'📥 Stock Data Input'!M28</f>
        <v/>
      </c>
      <c r="H28" s="43">
        <f>'📥 Stock Data Input'!N28</f>
        <v/>
      </c>
      <c r="I28" s="43">
        <f>'📥 Stock Data Input'!O28</f>
        <v/>
      </c>
      <c r="J28" s="61">
        <f>IFERROR(IF('📥 Stock Data Input'!H28="","N/A",IF('📥 Stock Data Input'!N28&gt;'📥 Stock Data Input'!H28/100,"✅ Outperform","❌ Underperform")),"N/A")</f>
        <v/>
      </c>
      <c r="K28" s="61">
        <f>IFERROR(IF('📥 Stock Data Input'!I28="","N/A",IF('📥 Stock Data Input'!N28&gt;'📥 Stock Data Input'!I28/100,"✅ Beat Nifty","❌ Lag Nifty")),"N/A")</f>
        <v/>
      </c>
      <c r="L28" s="61">
        <f>IFERROR(IF('📥 Stock Data Input'!A28="","",IF('📥 Stock Data Input'!K28&lt;5000,"⚠️ Tiny Position",IF('📥 Stock Data Input'!N28&lt;0,"🔴 In Loss",IF(AND('📥 Stock Data Input'!I28&lt;&gt;"",'📥 Stock Data Input'!N28&lt;'📥 Stock Data Input'!I28/100),"🟡 Underperform",IF('📥 Stock Data Input'!N28&gt;0.2,"🟢 Strong","🔵 Hold"))))),"")</f>
        <v/>
      </c>
      <c r="M28" s="62">
        <f>IFERROR(IF('📥 Stock Data Input'!A28="","",IF('📥 Stock Data Input'!K28&lt;5000,"Add qty meaningfully or exit — position too small to matter",IF('📥 Stock Data Input'!N28&lt;-0.2,"Consider exit — loss &gt;20%; re-evaluate thesis",IF(AND('📥 Stock Data Input'!I28&lt;&gt;"",'📥 Stock Data Input'!N28&lt;'📥 Stock Data Input'!I28/100),"Lagging benchmark — review thesis; rotate if 2+ years",IF('📥 Stock Data Input'!N28&gt;0.2,"Strong compounder — hold; consider adding on dips","Hold — monitor quarterly; no immediate action"))))),"")</f>
        <v/>
      </c>
    </row>
    <row r="29" ht="18" customHeight="1" s="82">
      <c r="A29" s="63">
        <f>'📥 Stock Data Input'!A29</f>
        <v/>
      </c>
      <c r="B29" s="63">
        <f>'📥 Stock Data Input'!C29</f>
        <v/>
      </c>
      <c r="C29" s="64">
        <f>'📥 Stock Data Input'!D29</f>
        <v/>
      </c>
      <c r="D29" s="51">
        <f>'📥 Stock Data Input'!J29</f>
        <v/>
      </c>
      <c r="E29" s="51">
        <f>'📥 Stock Data Input'!K29</f>
        <v/>
      </c>
      <c r="F29" s="51">
        <f>'📥 Stock Data Input'!L29</f>
        <v/>
      </c>
      <c r="G29" s="52">
        <f>'📥 Stock Data Input'!M29</f>
        <v/>
      </c>
      <c r="H29" s="52">
        <f>'📥 Stock Data Input'!N29</f>
        <v/>
      </c>
      <c r="I29" s="52">
        <f>'📥 Stock Data Input'!O29</f>
        <v/>
      </c>
      <c r="J29" s="65">
        <f>IFERROR(IF('📥 Stock Data Input'!H29="","N/A",IF('📥 Stock Data Input'!N29&gt;'📥 Stock Data Input'!H29/100,"✅ Outperform","❌ Underperform")),"N/A")</f>
        <v/>
      </c>
      <c r="K29" s="65">
        <f>IFERROR(IF('📥 Stock Data Input'!I29="","N/A",IF('📥 Stock Data Input'!N29&gt;'📥 Stock Data Input'!I29/100,"✅ Beat Nifty","❌ Lag Nifty")),"N/A")</f>
        <v/>
      </c>
      <c r="L29" s="65">
        <f>IFERROR(IF('📥 Stock Data Input'!A29="","",IF('📥 Stock Data Input'!K29&lt;5000,"⚠️ Tiny Position",IF('📥 Stock Data Input'!N29&lt;0,"🔴 In Loss",IF(AND('📥 Stock Data Input'!I29&lt;&gt;"",'📥 Stock Data Input'!N29&lt;'📥 Stock Data Input'!I29/100),"🟡 Underperform",IF('📥 Stock Data Input'!N29&gt;0.2,"🟢 Strong","🔵 Hold"))))),"")</f>
        <v/>
      </c>
      <c r="M29" s="66">
        <f>IFERROR(IF('📥 Stock Data Input'!A29="","",IF('📥 Stock Data Input'!K29&lt;5000,"Add qty meaningfully or exit — position too small to matter",IF('📥 Stock Data Input'!N29&lt;-0.2,"Consider exit — loss &gt;20%; re-evaluate thesis",IF(AND('📥 Stock Data Input'!I29&lt;&gt;"",'📥 Stock Data Input'!N29&lt;'📥 Stock Data Input'!I29/100),"Lagging benchmark — review thesis; rotate if 2+ years",IF('📥 Stock Data Input'!N29&gt;0.2,"Strong compounder — hold; consider adding on dips","Hold — monitor quarterly; no immediate action"))))),"")</f>
        <v/>
      </c>
    </row>
    <row r="30" ht="18" customHeight="1" s="82">
      <c r="A30" s="59">
        <f>'📥 Stock Data Input'!A30</f>
        <v/>
      </c>
      <c r="B30" s="59">
        <f>'📥 Stock Data Input'!C30</f>
        <v/>
      </c>
      <c r="C30" s="60">
        <f>'📥 Stock Data Input'!D30</f>
        <v/>
      </c>
      <c r="D30" s="42">
        <f>'📥 Stock Data Input'!J30</f>
        <v/>
      </c>
      <c r="E30" s="42">
        <f>'📥 Stock Data Input'!K30</f>
        <v/>
      </c>
      <c r="F30" s="42">
        <f>'📥 Stock Data Input'!L30</f>
        <v/>
      </c>
      <c r="G30" s="43">
        <f>'📥 Stock Data Input'!M30</f>
        <v/>
      </c>
      <c r="H30" s="43">
        <f>'📥 Stock Data Input'!N30</f>
        <v/>
      </c>
      <c r="I30" s="43">
        <f>'📥 Stock Data Input'!O30</f>
        <v/>
      </c>
      <c r="J30" s="61">
        <f>IFERROR(IF('📥 Stock Data Input'!H30="","N/A",IF('📥 Stock Data Input'!N30&gt;'📥 Stock Data Input'!H30/100,"✅ Outperform","❌ Underperform")),"N/A")</f>
        <v/>
      </c>
      <c r="K30" s="61">
        <f>IFERROR(IF('📥 Stock Data Input'!I30="","N/A",IF('📥 Stock Data Input'!N30&gt;'📥 Stock Data Input'!I30/100,"✅ Beat Nifty","❌ Lag Nifty")),"N/A")</f>
        <v/>
      </c>
      <c r="L30" s="61">
        <f>IFERROR(IF('📥 Stock Data Input'!A30="","",IF('📥 Stock Data Input'!K30&lt;5000,"⚠️ Tiny Position",IF('📥 Stock Data Input'!N30&lt;0,"🔴 In Loss",IF(AND('📥 Stock Data Input'!I30&lt;&gt;"",'📥 Stock Data Input'!N30&lt;'📥 Stock Data Input'!I30/100),"🟡 Underperform",IF('📥 Stock Data Input'!N30&gt;0.2,"🟢 Strong","🔵 Hold"))))),"")</f>
        <v/>
      </c>
      <c r="M30" s="62">
        <f>IFERROR(IF('📥 Stock Data Input'!A30="","",IF('📥 Stock Data Input'!K30&lt;5000,"Add qty meaningfully or exit — position too small to matter",IF('📥 Stock Data Input'!N30&lt;-0.2,"Consider exit — loss &gt;20%; re-evaluate thesis",IF(AND('📥 Stock Data Input'!I30&lt;&gt;"",'📥 Stock Data Input'!N30&lt;'📥 Stock Data Input'!I30/100),"Lagging benchmark — review thesis; rotate if 2+ years",IF('📥 Stock Data Input'!N30&gt;0.2,"Strong compounder — hold; consider adding on dips","Hold — monitor quarterly; no immediate action"))))),"")</f>
        <v/>
      </c>
    </row>
    <row r="31" ht="18" customHeight="1" s="82">
      <c r="A31" s="63">
        <f>'📥 Stock Data Input'!A31</f>
        <v/>
      </c>
      <c r="B31" s="63">
        <f>'📥 Stock Data Input'!C31</f>
        <v/>
      </c>
      <c r="C31" s="64">
        <f>'📥 Stock Data Input'!D31</f>
        <v/>
      </c>
      <c r="D31" s="51">
        <f>'📥 Stock Data Input'!J31</f>
        <v/>
      </c>
      <c r="E31" s="51">
        <f>'📥 Stock Data Input'!K31</f>
        <v/>
      </c>
      <c r="F31" s="51">
        <f>'📥 Stock Data Input'!L31</f>
        <v/>
      </c>
      <c r="G31" s="52">
        <f>'📥 Stock Data Input'!M31</f>
        <v/>
      </c>
      <c r="H31" s="52">
        <f>'📥 Stock Data Input'!N31</f>
        <v/>
      </c>
      <c r="I31" s="52">
        <f>'📥 Stock Data Input'!O31</f>
        <v/>
      </c>
      <c r="J31" s="65">
        <f>IFERROR(IF('📥 Stock Data Input'!H31="","N/A",IF('📥 Stock Data Input'!N31&gt;'📥 Stock Data Input'!H31/100,"✅ Outperform","❌ Underperform")),"N/A")</f>
        <v/>
      </c>
      <c r="K31" s="65">
        <f>IFERROR(IF('📥 Stock Data Input'!I31="","N/A",IF('📥 Stock Data Input'!N31&gt;'📥 Stock Data Input'!I31/100,"✅ Beat Nifty","❌ Lag Nifty")),"N/A")</f>
        <v/>
      </c>
      <c r="L31" s="65">
        <f>IFERROR(IF('📥 Stock Data Input'!A31="","",IF('📥 Stock Data Input'!K31&lt;5000,"⚠️ Tiny Position",IF('📥 Stock Data Input'!N31&lt;0,"🔴 In Loss",IF(AND('📥 Stock Data Input'!I31&lt;&gt;"",'📥 Stock Data Input'!N31&lt;'📥 Stock Data Input'!I31/100),"🟡 Underperform",IF('📥 Stock Data Input'!N31&gt;0.2,"🟢 Strong","🔵 Hold"))))),"")</f>
        <v/>
      </c>
      <c r="M31" s="66">
        <f>IFERROR(IF('📥 Stock Data Input'!A31="","",IF('📥 Stock Data Input'!K31&lt;5000,"Add qty meaningfully or exit — position too small to matter",IF('📥 Stock Data Input'!N31&lt;-0.2,"Consider exit — loss &gt;20%; re-evaluate thesis",IF(AND('📥 Stock Data Input'!I31&lt;&gt;"",'📥 Stock Data Input'!N31&lt;'📥 Stock Data Input'!I31/100),"Lagging benchmark — review thesis; rotate if 2+ years",IF('📥 Stock Data Input'!N31&gt;0.2,"Strong compounder — hold; consider adding on dips","Hold — monitor quarterly; no immediate action"))))),"")</f>
        <v/>
      </c>
    </row>
    <row r="32" ht="18" customHeight="1" s="82">
      <c r="A32" s="59">
        <f>'📥 Stock Data Input'!A32</f>
        <v/>
      </c>
      <c r="B32" s="59">
        <f>'📥 Stock Data Input'!C32</f>
        <v/>
      </c>
      <c r="C32" s="60">
        <f>'📥 Stock Data Input'!D32</f>
        <v/>
      </c>
      <c r="D32" s="42">
        <f>'📥 Stock Data Input'!J32</f>
        <v/>
      </c>
      <c r="E32" s="42">
        <f>'📥 Stock Data Input'!K32</f>
        <v/>
      </c>
      <c r="F32" s="42">
        <f>'📥 Stock Data Input'!L32</f>
        <v/>
      </c>
      <c r="G32" s="43">
        <f>'📥 Stock Data Input'!M32</f>
        <v/>
      </c>
      <c r="H32" s="43">
        <f>'📥 Stock Data Input'!N32</f>
        <v/>
      </c>
      <c r="I32" s="43">
        <f>'📥 Stock Data Input'!O32</f>
        <v/>
      </c>
      <c r="J32" s="61">
        <f>IFERROR(IF('📥 Stock Data Input'!H32="","N/A",IF('📥 Stock Data Input'!N32&gt;'📥 Stock Data Input'!H32/100,"✅ Outperform","❌ Underperform")),"N/A")</f>
        <v/>
      </c>
      <c r="K32" s="61">
        <f>IFERROR(IF('📥 Stock Data Input'!I32="","N/A",IF('📥 Stock Data Input'!N32&gt;'📥 Stock Data Input'!I32/100,"✅ Beat Nifty","❌ Lag Nifty")),"N/A")</f>
        <v/>
      </c>
      <c r="L32" s="61">
        <f>IFERROR(IF('📥 Stock Data Input'!A32="","",IF('📥 Stock Data Input'!K32&lt;5000,"⚠️ Tiny Position",IF('📥 Stock Data Input'!N32&lt;0,"🔴 In Loss",IF(AND('📥 Stock Data Input'!I32&lt;&gt;"",'📥 Stock Data Input'!N32&lt;'📥 Stock Data Input'!I32/100),"🟡 Underperform",IF('📥 Stock Data Input'!N32&gt;0.2,"🟢 Strong","🔵 Hold"))))),"")</f>
        <v/>
      </c>
      <c r="M32" s="62">
        <f>IFERROR(IF('📥 Stock Data Input'!A32="","",IF('📥 Stock Data Input'!K32&lt;5000,"Add qty meaningfully or exit — position too small to matter",IF('📥 Stock Data Input'!N32&lt;-0.2,"Consider exit — loss &gt;20%; re-evaluate thesis",IF(AND('📥 Stock Data Input'!I32&lt;&gt;"",'📥 Stock Data Input'!N32&lt;'📥 Stock Data Input'!I32/100),"Lagging benchmark — review thesis; rotate if 2+ years",IF('📥 Stock Data Input'!N32&gt;0.2,"Strong compounder — hold; consider adding on dips","Hold — monitor quarterly; no immediate action"))))),"")</f>
        <v/>
      </c>
    </row>
    <row r="33" ht="18" customHeight="1" s="82">
      <c r="A33" s="63">
        <f>'📥 Stock Data Input'!A33</f>
        <v/>
      </c>
      <c r="B33" s="63">
        <f>'📥 Stock Data Input'!C33</f>
        <v/>
      </c>
      <c r="C33" s="64">
        <f>'📥 Stock Data Input'!D33</f>
        <v/>
      </c>
      <c r="D33" s="51">
        <f>'📥 Stock Data Input'!J33</f>
        <v/>
      </c>
      <c r="E33" s="51">
        <f>'📥 Stock Data Input'!K33</f>
        <v/>
      </c>
      <c r="F33" s="51">
        <f>'📥 Stock Data Input'!L33</f>
        <v/>
      </c>
      <c r="G33" s="52">
        <f>'📥 Stock Data Input'!M33</f>
        <v/>
      </c>
      <c r="H33" s="52">
        <f>'📥 Stock Data Input'!N33</f>
        <v/>
      </c>
      <c r="I33" s="52">
        <f>'📥 Stock Data Input'!O33</f>
        <v/>
      </c>
      <c r="J33" s="65">
        <f>IFERROR(IF('📥 Stock Data Input'!H33="","N/A",IF('📥 Stock Data Input'!N33&gt;'📥 Stock Data Input'!H33/100,"✅ Outperform","❌ Underperform")),"N/A")</f>
        <v/>
      </c>
      <c r="K33" s="65">
        <f>IFERROR(IF('📥 Stock Data Input'!I33="","N/A",IF('📥 Stock Data Input'!N33&gt;'📥 Stock Data Input'!I33/100,"✅ Beat Nifty","❌ Lag Nifty")),"N/A")</f>
        <v/>
      </c>
      <c r="L33" s="65">
        <f>IFERROR(IF('📥 Stock Data Input'!A33="","",IF('📥 Stock Data Input'!K33&lt;5000,"⚠️ Tiny Position",IF('📥 Stock Data Input'!N33&lt;0,"🔴 In Loss",IF(AND('📥 Stock Data Input'!I33&lt;&gt;"",'📥 Stock Data Input'!N33&lt;'📥 Stock Data Input'!I33/100),"🟡 Underperform",IF('📥 Stock Data Input'!N33&gt;0.2,"🟢 Strong","🔵 Hold"))))),"")</f>
        <v/>
      </c>
      <c r="M33" s="66">
        <f>IFERROR(IF('📥 Stock Data Input'!A33="","",IF('📥 Stock Data Input'!K33&lt;5000,"Add qty meaningfully or exit — position too small to matter",IF('📥 Stock Data Input'!N33&lt;-0.2,"Consider exit — loss &gt;20%; re-evaluate thesis",IF(AND('📥 Stock Data Input'!I33&lt;&gt;"",'📥 Stock Data Input'!N33&lt;'📥 Stock Data Input'!I33/100),"Lagging benchmark — review thesis; rotate if 2+ years",IF('📥 Stock Data Input'!N33&gt;0.2,"Strong compounder — hold; consider adding on dips","Hold — monitor quarterly; no immediate action"))))),"")</f>
        <v/>
      </c>
    </row>
    <row r="34" ht="18" customHeight="1" s="82">
      <c r="A34" s="59">
        <f>'📥 Stock Data Input'!A34</f>
        <v/>
      </c>
      <c r="B34" s="59">
        <f>'📥 Stock Data Input'!C34</f>
        <v/>
      </c>
      <c r="C34" s="60">
        <f>'📥 Stock Data Input'!D34</f>
        <v/>
      </c>
      <c r="D34" s="42">
        <f>'📥 Stock Data Input'!J34</f>
        <v/>
      </c>
      <c r="E34" s="42">
        <f>'📥 Stock Data Input'!K34</f>
        <v/>
      </c>
      <c r="F34" s="42">
        <f>'📥 Stock Data Input'!L34</f>
        <v/>
      </c>
      <c r="G34" s="43">
        <f>'📥 Stock Data Input'!M34</f>
        <v/>
      </c>
      <c r="H34" s="43">
        <f>'📥 Stock Data Input'!N34</f>
        <v/>
      </c>
      <c r="I34" s="43">
        <f>'📥 Stock Data Input'!O34</f>
        <v/>
      </c>
      <c r="J34" s="61">
        <f>IFERROR(IF('📥 Stock Data Input'!H34="","N/A",IF('📥 Stock Data Input'!N34&gt;'📥 Stock Data Input'!H34/100,"✅ Outperform","❌ Underperform")),"N/A")</f>
        <v/>
      </c>
      <c r="K34" s="61">
        <f>IFERROR(IF('📥 Stock Data Input'!I34="","N/A",IF('📥 Stock Data Input'!N34&gt;'📥 Stock Data Input'!I34/100,"✅ Beat Nifty","❌ Lag Nifty")),"N/A")</f>
        <v/>
      </c>
      <c r="L34" s="61">
        <f>IFERROR(IF('📥 Stock Data Input'!A34="","",IF('📥 Stock Data Input'!K34&lt;5000,"⚠️ Tiny Position",IF('📥 Stock Data Input'!N34&lt;0,"🔴 In Loss",IF(AND('📥 Stock Data Input'!I34&lt;&gt;"",'📥 Stock Data Input'!N34&lt;'📥 Stock Data Input'!I34/100),"🟡 Underperform",IF('📥 Stock Data Input'!N34&gt;0.2,"🟢 Strong","🔵 Hold"))))),"")</f>
        <v/>
      </c>
      <c r="M34" s="62">
        <f>IFERROR(IF('📥 Stock Data Input'!A34="","",IF('📥 Stock Data Input'!K34&lt;5000,"Add qty meaningfully or exit — position too small to matter",IF('📥 Stock Data Input'!N34&lt;-0.2,"Consider exit — loss &gt;20%; re-evaluate thesis",IF(AND('📥 Stock Data Input'!I34&lt;&gt;"",'📥 Stock Data Input'!N34&lt;'📥 Stock Data Input'!I34/100),"Lagging benchmark — review thesis; rotate if 2+ years",IF('📥 Stock Data Input'!N34&gt;0.2,"Strong compounder — hold; consider adding on dips","Hold — monitor quarterly; no immediate action"))))),"")</f>
        <v/>
      </c>
    </row>
    <row r="35" ht="18" customHeight="1" s="82">
      <c r="A35" s="63">
        <f>'📥 Stock Data Input'!A35</f>
        <v/>
      </c>
      <c r="B35" s="63">
        <f>'📥 Stock Data Input'!C35</f>
        <v/>
      </c>
      <c r="C35" s="64">
        <f>'📥 Stock Data Input'!D35</f>
        <v/>
      </c>
      <c r="D35" s="51">
        <f>'📥 Stock Data Input'!J35</f>
        <v/>
      </c>
      <c r="E35" s="51">
        <f>'📥 Stock Data Input'!K35</f>
        <v/>
      </c>
      <c r="F35" s="51">
        <f>'📥 Stock Data Input'!L35</f>
        <v/>
      </c>
      <c r="G35" s="52">
        <f>'📥 Stock Data Input'!M35</f>
        <v/>
      </c>
      <c r="H35" s="52">
        <f>'📥 Stock Data Input'!N35</f>
        <v/>
      </c>
      <c r="I35" s="52">
        <f>'📥 Stock Data Input'!O35</f>
        <v/>
      </c>
      <c r="J35" s="65">
        <f>IFERROR(IF('📥 Stock Data Input'!H35="","N/A",IF('📥 Stock Data Input'!N35&gt;'📥 Stock Data Input'!H35/100,"✅ Outperform","❌ Underperform")),"N/A")</f>
        <v/>
      </c>
      <c r="K35" s="65">
        <f>IFERROR(IF('📥 Stock Data Input'!I35="","N/A",IF('📥 Stock Data Input'!N35&gt;'📥 Stock Data Input'!I35/100,"✅ Beat Nifty","❌ Lag Nifty")),"N/A")</f>
        <v/>
      </c>
      <c r="L35" s="65">
        <f>IFERROR(IF('📥 Stock Data Input'!A35="","",IF('📥 Stock Data Input'!K35&lt;5000,"⚠️ Tiny Position",IF('📥 Stock Data Input'!N35&lt;0,"🔴 In Loss",IF(AND('📥 Stock Data Input'!I35&lt;&gt;"",'📥 Stock Data Input'!N35&lt;'📥 Stock Data Input'!I35/100),"🟡 Underperform",IF('📥 Stock Data Input'!N35&gt;0.2,"🟢 Strong","🔵 Hold"))))),"")</f>
        <v/>
      </c>
      <c r="M35" s="66">
        <f>IFERROR(IF('📥 Stock Data Input'!A35="","",IF('📥 Stock Data Input'!K35&lt;5000,"Add qty meaningfully or exit — position too small to matter",IF('📥 Stock Data Input'!N35&lt;-0.2,"Consider exit — loss &gt;20%; re-evaluate thesis",IF(AND('📥 Stock Data Input'!I35&lt;&gt;"",'📥 Stock Data Input'!N35&lt;'📥 Stock Data Input'!I35/100),"Lagging benchmark — review thesis; rotate if 2+ years",IF('📥 Stock Data Input'!N35&gt;0.2,"Strong compounder — hold; consider adding on dips","Hold — monitor quarterly; no immediate action"))))),"")</f>
        <v/>
      </c>
    </row>
    <row r="36" ht="18" customHeight="1" s="82">
      <c r="A36" s="59">
        <f>'📥 Stock Data Input'!A36</f>
        <v/>
      </c>
      <c r="B36" s="59">
        <f>'📥 Stock Data Input'!C36</f>
        <v/>
      </c>
      <c r="C36" s="60">
        <f>'📥 Stock Data Input'!D36</f>
        <v/>
      </c>
      <c r="D36" s="42">
        <f>'📥 Stock Data Input'!J36</f>
        <v/>
      </c>
      <c r="E36" s="42">
        <f>'📥 Stock Data Input'!K36</f>
        <v/>
      </c>
      <c r="F36" s="42">
        <f>'📥 Stock Data Input'!L36</f>
        <v/>
      </c>
      <c r="G36" s="43">
        <f>'📥 Stock Data Input'!M36</f>
        <v/>
      </c>
      <c r="H36" s="43">
        <f>'📥 Stock Data Input'!N36</f>
        <v/>
      </c>
      <c r="I36" s="43">
        <f>'📥 Stock Data Input'!O36</f>
        <v/>
      </c>
      <c r="J36" s="61">
        <f>IFERROR(IF('📥 Stock Data Input'!H36="","N/A",IF('📥 Stock Data Input'!N36&gt;'📥 Stock Data Input'!H36/100,"✅ Outperform","❌ Underperform")),"N/A")</f>
        <v/>
      </c>
      <c r="K36" s="61">
        <f>IFERROR(IF('📥 Stock Data Input'!I36="","N/A",IF('📥 Stock Data Input'!N36&gt;'📥 Stock Data Input'!I36/100,"✅ Beat Nifty","❌ Lag Nifty")),"N/A")</f>
        <v/>
      </c>
      <c r="L36" s="61">
        <f>IFERROR(IF('📥 Stock Data Input'!A36="","",IF('📥 Stock Data Input'!K36&lt;5000,"⚠️ Tiny Position",IF('📥 Stock Data Input'!N36&lt;0,"🔴 In Loss",IF(AND('📥 Stock Data Input'!I36&lt;&gt;"",'📥 Stock Data Input'!N36&lt;'📥 Stock Data Input'!I36/100),"🟡 Underperform",IF('📥 Stock Data Input'!N36&gt;0.2,"🟢 Strong","🔵 Hold"))))),"")</f>
        <v/>
      </c>
      <c r="M36" s="62">
        <f>IFERROR(IF('📥 Stock Data Input'!A36="","",IF('📥 Stock Data Input'!K36&lt;5000,"Add qty meaningfully or exit — position too small to matter",IF('📥 Stock Data Input'!N36&lt;-0.2,"Consider exit — loss &gt;20%; re-evaluate thesis",IF(AND('📥 Stock Data Input'!I36&lt;&gt;"",'📥 Stock Data Input'!N36&lt;'📥 Stock Data Input'!I36/100),"Lagging benchmark — review thesis; rotate if 2+ years",IF('📥 Stock Data Input'!N36&gt;0.2,"Strong compounder — hold; consider adding on dips","Hold — monitor quarterly; no immediate action"))))),"")</f>
        <v/>
      </c>
    </row>
    <row r="37" ht="18" customHeight="1" s="82">
      <c r="A37" s="63">
        <f>'📥 Stock Data Input'!A37</f>
        <v/>
      </c>
      <c r="B37" s="63">
        <f>'📥 Stock Data Input'!C37</f>
        <v/>
      </c>
      <c r="C37" s="64">
        <f>'📥 Stock Data Input'!D37</f>
        <v/>
      </c>
      <c r="D37" s="51">
        <f>'📥 Stock Data Input'!J37</f>
        <v/>
      </c>
      <c r="E37" s="51">
        <f>'📥 Stock Data Input'!K37</f>
        <v/>
      </c>
      <c r="F37" s="51">
        <f>'📥 Stock Data Input'!L37</f>
        <v/>
      </c>
      <c r="G37" s="52">
        <f>'📥 Stock Data Input'!M37</f>
        <v/>
      </c>
      <c r="H37" s="52">
        <f>'📥 Stock Data Input'!N37</f>
        <v/>
      </c>
      <c r="I37" s="52">
        <f>'📥 Stock Data Input'!O37</f>
        <v/>
      </c>
      <c r="J37" s="65">
        <f>IFERROR(IF('📥 Stock Data Input'!H37="","N/A",IF('📥 Stock Data Input'!N37&gt;'📥 Stock Data Input'!H37/100,"✅ Outperform","❌ Underperform")),"N/A")</f>
        <v/>
      </c>
      <c r="K37" s="65">
        <f>IFERROR(IF('📥 Stock Data Input'!I37="","N/A",IF('📥 Stock Data Input'!N37&gt;'📥 Stock Data Input'!I37/100,"✅ Beat Nifty","❌ Lag Nifty")),"N/A")</f>
        <v/>
      </c>
      <c r="L37" s="65">
        <f>IFERROR(IF('📥 Stock Data Input'!A37="","",IF('📥 Stock Data Input'!K37&lt;5000,"⚠️ Tiny Position",IF('📥 Stock Data Input'!N37&lt;0,"🔴 In Loss",IF(AND('📥 Stock Data Input'!I37&lt;&gt;"",'📥 Stock Data Input'!N37&lt;'📥 Stock Data Input'!I37/100),"🟡 Underperform",IF('📥 Stock Data Input'!N37&gt;0.2,"🟢 Strong","🔵 Hold"))))),"")</f>
        <v/>
      </c>
      <c r="M37" s="66">
        <f>IFERROR(IF('📥 Stock Data Input'!A37="","",IF('📥 Stock Data Input'!K37&lt;5000,"Add qty meaningfully or exit — position too small to matter",IF('📥 Stock Data Input'!N37&lt;-0.2,"Consider exit — loss &gt;20%; re-evaluate thesis",IF(AND('📥 Stock Data Input'!I37&lt;&gt;"",'📥 Stock Data Input'!N37&lt;'📥 Stock Data Input'!I37/100),"Lagging benchmark — review thesis; rotate if 2+ years",IF('📥 Stock Data Input'!N37&gt;0.2,"Strong compounder — hold; consider adding on dips","Hold — monitor quarterly; no immediate action"))))),"")</f>
        <v/>
      </c>
    </row>
    <row r="38" ht="18" customHeight="1" s="82">
      <c r="A38" s="59">
        <f>'📥 Stock Data Input'!A38</f>
        <v/>
      </c>
      <c r="B38" s="59">
        <f>'📥 Stock Data Input'!C38</f>
        <v/>
      </c>
      <c r="C38" s="60">
        <f>'📥 Stock Data Input'!D38</f>
        <v/>
      </c>
      <c r="D38" s="42">
        <f>'📥 Stock Data Input'!J38</f>
        <v/>
      </c>
      <c r="E38" s="42">
        <f>'📥 Stock Data Input'!K38</f>
        <v/>
      </c>
      <c r="F38" s="42">
        <f>'📥 Stock Data Input'!L38</f>
        <v/>
      </c>
      <c r="G38" s="43">
        <f>'📥 Stock Data Input'!M38</f>
        <v/>
      </c>
      <c r="H38" s="43">
        <f>'📥 Stock Data Input'!N38</f>
        <v/>
      </c>
      <c r="I38" s="43">
        <f>'📥 Stock Data Input'!O38</f>
        <v/>
      </c>
      <c r="J38" s="61">
        <f>IFERROR(IF('📥 Stock Data Input'!H38="","N/A",IF('📥 Stock Data Input'!N38&gt;'📥 Stock Data Input'!H38/100,"✅ Outperform","❌ Underperform")),"N/A")</f>
        <v/>
      </c>
      <c r="K38" s="61">
        <f>IFERROR(IF('📥 Stock Data Input'!I38="","N/A",IF('📥 Stock Data Input'!N38&gt;'📥 Stock Data Input'!I38/100,"✅ Beat Nifty","❌ Lag Nifty")),"N/A")</f>
        <v/>
      </c>
      <c r="L38" s="61">
        <f>IFERROR(IF('📥 Stock Data Input'!A38="","",IF('📥 Stock Data Input'!K38&lt;5000,"⚠️ Tiny Position",IF('📥 Stock Data Input'!N38&lt;0,"🔴 In Loss",IF(AND('📥 Stock Data Input'!I38&lt;&gt;"",'📥 Stock Data Input'!N38&lt;'📥 Stock Data Input'!I38/100),"🟡 Underperform",IF('📥 Stock Data Input'!N38&gt;0.2,"🟢 Strong","🔵 Hold"))))),"")</f>
        <v/>
      </c>
      <c r="M38" s="62">
        <f>IFERROR(IF('📥 Stock Data Input'!A38="","",IF('📥 Stock Data Input'!K38&lt;5000,"Add qty meaningfully or exit — position too small to matter",IF('📥 Stock Data Input'!N38&lt;-0.2,"Consider exit — loss &gt;20%; re-evaluate thesis",IF(AND('📥 Stock Data Input'!I38&lt;&gt;"",'📥 Stock Data Input'!N38&lt;'📥 Stock Data Input'!I38/100),"Lagging benchmark — review thesis; rotate if 2+ years",IF('📥 Stock Data Input'!N38&gt;0.2,"Strong compounder — hold; consider adding on dips","Hold — monitor quarterly; no immediate action"))))),"")</f>
        <v/>
      </c>
    </row>
    <row r="39" ht="18" customHeight="1" s="82">
      <c r="A39" s="63">
        <f>'📥 Stock Data Input'!A39</f>
        <v/>
      </c>
      <c r="B39" s="63">
        <f>'📥 Stock Data Input'!C39</f>
        <v/>
      </c>
      <c r="C39" s="64">
        <f>'📥 Stock Data Input'!D39</f>
        <v/>
      </c>
      <c r="D39" s="51">
        <f>'📥 Stock Data Input'!J39</f>
        <v/>
      </c>
      <c r="E39" s="51">
        <f>'📥 Stock Data Input'!K39</f>
        <v/>
      </c>
      <c r="F39" s="51">
        <f>'📥 Stock Data Input'!L39</f>
        <v/>
      </c>
      <c r="G39" s="52">
        <f>'📥 Stock Data Input'!M39</f>
        <v/>
      </c>
      <c r="H39" s="52">
        <f>'📥 Stock Data Input'!N39</f>
        <v/>
      </c>
      <c r="I39" s="52">
        <f>'📥 Stock Data Input'!O39</f>
        <v/>
      </c>
      <c r="J39" s="65">
        <f>IFERROR(IF('📥 Stock Data Input'!H39="","N/A",IF('📥 Stock Data Input'!N39&gt;'📥 Stock Data Input'!H39/100,"✅ Outperform","❌ Underperform")),"N/A")</f>
        <v/>
      </c>
      <c r="K39" s="65">
        <f>IFERROR(IF('📥 Stock Data Input'!I39="","N/A",IF('📥 Stock Data Input'!N39&gt;'📥 Stock Data Input'!I39/100,"✅ Beat Nifty","❌ Lag Nifty")),"N/A")</f>
        <v/>
      </c>
      <c r="L39" s="65">
        <f>IFERROR(IF('📥 Stock Data Input'!A39="","",IF('📥 Stock Data Input'!K39&lt;5000,"⚠️ Tiny Position",IF('📥 Stock Data Input'!N39&lt;0,"🔴 In Loss",IF(AND('📥 Stock Data Input'!I39&lt;&gt;"",'📥 Stock Data Input'!N39&lt;'📥 Stock Data Input'!I39/100),"🟡 Underperform",IF('📥 Stock Data Input'!N39&gt;0.2,"🟢 Strong","🔵 Hold"))))),"")</f>
        <v/>
      </c>
      <c r="M39" s="66">
        <f>IFERROR(IF('📥 Stock Data Input'!A39="","",IF('📥 Stock Data Input'!K39&lt;5000,"Add qty meaningfully or exit — position too small to matter",IF('📥 Stock Data Input'!N39&lt;-0.2,"Consider exit — loss &gt;20%; re-evaluate thesis",IF(AND('📥 Stock Data Input'!I39&lt;&gt;"",'📥 Stock Data Input'!N39&lt;'📥 Stock Data Input'!I39/100),"Lagging benchmark — review thesis; rotate if 2+ years",IF('📥 Stock Data Input'!N39&gt;0.2,"Strong compounder — hold; consider adding on dips","Hold — monitor quarterly; no immediate action"))))),"")</f>
        <v/>
      </c>
    </row>
    <row r="40" ht="18" customHeight="1" s="82">
      <c r="A40" s="59">
        <f>'📥 Stock Data Input'!A40</f>
        <v/>
      </c>
      <c r="B40" s="59">
        <f>'📥 Stock Data Input'!C40</f>
        <v/>
      </c>
      <c r="C40" s="60">
        <f>'📥 Stock Data Input'!D40</f>
        <v/>
      </c>
      <c r="D40" s="42">
        <f>'📥 Stock Data Input'!J40</f>
        <v/>
      </c>
      <c r="E40" s="42">
        <f>'📥 Stock Data Input'!K40</f>
        <v/>
      </c>
      <c r="F40" s="42">
        <f>'📥 Stock Data Input'!L40</f>
        <v/>
      </c>
      <c r="G40" s="43">
        <f>'📥 Stock Data Input'!M40</f>
        <v/>
      </c>
      <c r="H40" s="43">
        <f>'📥 Stock Data Input'!N40</f>
        <v/>
      </c>
      <c r="I40" s="43">
        <f>'📥 Stock Data Input'!O40</f>
        <v/>
      </c>
      <c r="J40" s="61">
        <f>IFERROR(IF('📥 Stock Data Input'!H40="","N/A",IF('📥 Stock Data Input'!N40&gt;'📥 Stock Data Input'!H40/100,"✅ Outperform","❌ Underperform")),"N/A")</f>
        <v/>
      </c>
      <c r="K40" s="61">
        <f>IFERROR(IF('📥 Stock Data Input'!I40="","N/A",IF('📥 Stock Data Input'!N40&gt;'📥 Stock Data Input'!I40/100,"✅ Beat Nifty","❌ Lag Nifty")),"N/A")</f>
        <v/>
      </c>
      <c r="L40" s="61">
        <f>IFERROR(IF('📥 Stock Data Input'!A40="","",IF('📥 Stock Data Input'!K40&lt;5000,"⚠️ Tiny Position",IF('📥 Stock Data Input'!N40&lt;0,"🔴 In Loss",IF(AND('📥 Stock Data Input'!I40&lt;&gt;"",'📥 Stock Data Input'!N40&lt;'📥 Stock Data Input'!I40/100),"🟡 Underperform",IF('📥 Stock Data Input'!N40&gt;0.2,"🟢 Strong","🔵 Hold"))))),"")</f>
        <v/>
      </c>
      <c r="M40" s="62">
        <f>IFERROR(IF('📥 Stock Data Input'!A40="","",IF('📥 Stock Data Input'!K40&lt;5000,"Add qty meaningfully or exit — position too small to matter",IF('📥 Stock Data Input'!N40&lt;-0.2,"Consider exit — loss &gt;20%; re-evaluate thesis",IF(AND('📥 Stock Data Input'!I40&lt;&gt;"",'📥 Stock Data Input'!N40&lt;'📥 Stock Data Input'!I40/100),"Lagging benchmark — review thesis; rotate if 2+ years",IF('📥 Stock Data Input'!N40&gt;0.2,"Strong compounder — hold; consider adding on dips","Hold — monitor quarterly; no immediate action"))))),"")</f>
        <v/>
      </c>
    </row>
    <row r="41" ht="18" customHeight="1" s="82">
      <c r="A41" s="63">
        <f>'📥 Stock Data Input'!A41</f>
        <v/>
      </c>
      <c r="B41" s="63">
        <f>'📥 Stock Data Input'!C41</f>
        <v/>
      </c>
      <c r="C41" s="64">
        <f>'📥 Stock Data Input'!D41</f>
        <v/>
      </c>
      <c r="D41" s="51">
        <f>'📥 Stock Data Input'!J41</f>
        <v/>
      </c>
      <c r="E41" s="51">
        <f>'📥 Stock Data Input'!K41</f>
        <v/>
      </c>
      <c r="F41" s="51">
        <f>'📥 Stock Data Input'!L41</f>
        <v/>
      </c>
      <c r="G41" s="52">
        <f>'📥 Stock Data Input'!M41</f>
        <v/>
      </c>
      <c r="H41" s="52">
        <f>'📥 Stock Data Input'!N41</f>
        <v/>
      </c>
      <c r="I41" s="52">
        <f>'📥 Stock Data Input'!O41</f>
        <v/>
      </c>
      <c r="J41" s="65">
        <f>IFERROR(IF('📥 Stock Data Input'!H41="","N/A",IF('📥 Stock Data Input'!N41&gt;'📥 Stock Data Input'!H41/100,"✅ Outperform","❌ Underperform")),"N/A")</f>
        <v/>
      </c>
      <c r="K41" s="65">
        <f>IFERROR(IF('📥 Stock Data Input'!I41="","N/A",IF('📥 Stock Data Input'!N41&gt;'📥 Stock Data Input'!I41/100,"✅ Beat Nifty","❌ Lag Nifty")),"N/A")</f>
        <v/>
      </c>
      <c r="L41" s="65">
        <f>IFERROR(IF('📥 Stock Data Input'!A41="","",IF('📥 Stock Data Input'!K41&lt;5000,"⚠️ Tiny Position",IF('📥 Stock Data Input'!N41&lt;0,"🔴 In Loss",IF(AND('📥 Stock Data Input'!I41&lt;&gt;"",'📥 Stock Data Input'!N41&lt;'📥 Stock Data Input'!I41/100),"🟡 Underperform",IF('📥 Stock Data Input'!N41&gt;0.2,"🟢 Strong","🔵 Hold"))))),"")</f>
        <v/>
      </c>
      <c r="M41" s="66">
        <f>IFERROR(IF('📥 Stock Data Input'!A41="","",IF('📥 Stock Data Input'!K41&lt;5000,"Add qty meaningfully or exit — position too small to matter",IF('📥 Stock Data Input'!N41&lt;-0.2,"Consider exit — loss &gt;20%; re-evaluate thesis",IF(AND('📥 Stock Data Input'!I41&lt;&gt;"",'📥 Stock Data Input'!N41&lt;'📥 Stock Data Input'!I41/100),"Lagging benchmark — review thesis; rotate if 2+ years",IF('📥 Stock Data Input'!N41&gt;0.2,"Strong compounder — hold; consider adding on dips","Hold — monitor quarterly; no immediate action"))))),"")</f>
        <v/>
      </c>
    </row>
    <row r="42" ht="18" customHeight="1" s="82">
      <c r="A42" s="59">
        <f>'📥 Stock Data Input'!A42</f>
        <v/>
      </c>
      <c r="B42" s="59">
        <f>'📥 Stock Data Input'!C42</f>
        <v/>
      </c>
      <c r="C42" s="60">
        <f>'📥 Stock Data Input'!D42</f>
        <v/>
      </c>
      <c r="D42" s="42">
        <f>'📥 Stock Data Input'!J42</f>
        <v/>
      </c>
      <c r="E42" s="42">
        <f>'📥 Stock Data Input'!K42</f>
        <v/>
      </c>
      <c r="F42" s="42">
        <f>'📥 Stock Data Input'!L42</f>
        <v/>
      </c>
      <c r="G42" s="43">
        <f>'📥 Stock Data Input'!M42</f>
        <v/>
      </c>
      <c r="H42" s="43">
        <f>'📥 Stock Data Input'!N42</f>
        <v/>
      </c>
      <c r="I42" s="43">
        <f>'📥 Stock Data Input'!O42</f>
        <v/>
      </c>
      <c r="J42" s="61">
        <f>IFERROR(IF('📥 Stock Data Input'!H42="","N/A",IF('📥 Stock Data Input'!N42&gt;'📥 Stock Data Input'!H42/100,"✅ Outperform","❌ Underperform")),"N/A")</f>
        <v/>
      </c>
      <c r="K42" s="61">
        <f>IFERROR(IF('📥 Stock Data Input'!I42="","N/A",IF('📥 Stock Data Input'!N42&gt;'📥 Stock Data Input'!I42/100,"✅ Beat Nifty","❌ Lag Nifty")),"N/A")</f>
        <v/>
      </c>
      <c r="L42" s="61">
        <f>IFERROR(IF('📥 Stock Data Input'!A42="","",IF('📥 Stock Data Input'!K42&lt;5000,"⚠️ Tiny Position",IF('📥 Stock Data Input'!N42&lt;0,"🔴 In Loss",IF(AND('📥 Stock Data Input'!I42&lt;&gt;"",'📥 Stock Data Input'!N42&lt;'📥 Stock Data Input'!I42/100),"🟡 Underperform",IF('📥 Stock Data Input'!N42&gt;0.2,"🟢 Strong","🔵 Hold"))))),"")</f>
        <v/>
      </c>
      <c r="M42" s="62">
        <f>IFERROR(IF('📥 Stock Data Input'!A42="","",IF('📥 Stock Data Input'!K42&lt;5000,"Add qty meaningfully or exit — position too small to matter",IF('📥 Stock Data Input'!N42&lt;-0.2,"Consider exit — loss &gt;20%; re-evaluate thesis",IF(AND('📥 Stock Data Input'!I42&lt;&gt;"",'📥 Stock Data Input'!N42&lt;'📥 Stock Data Input'!I42/100),"Lagging benchmark — review thesis; rotate if 2+ years",IF('📥 Stock Data Input'!N42&gt;0.2,"Strong compounder — hold; consider adding on dips","Hold — monitor quarterly; no immediate action"))))),"")</f>
        <v/>
      </c>
    </row>
    <row r="43" ht="18" customHeight="1" s="82">
      <c r="A43" s="63">
        <f>'📥 Stock Data Input'!A43</f>
        <v/>
      </c>
      <c r="B43" s="63">
        <f>'📥 Stock Data Input'!C43</f>
        <v/>
      </c>
      <c r="C43" s="64">
        <f>'📥 Stock Data Input'!D43</f>
        <v/>
      </c>
      <c r="D43" s="51">
        <f>'📥 Stock Data Input'!J43</f>
        <v/>
      </c>
      <c r="E43" s="51">
        <f>'📥 Stock Data Input'!K43</f>
        <v/>
      </c>
      <c r="F43" s="51">
        <f>'📥 Stock Data Input'!L43</f>
        <v/>
      </c>
      <c r="G43" s="52">
        <f>'📥 Stock Data Input'!M43</f>
        <v/>
      </c>
      <c r="H43" s="52">
        <f>'📥 Stock Data Input'!N43</f>
        <v/>
      </c>
      <c r="I43" s="52">
        <f>'📥 Stock Data Input'!O43</f>
        <v/>
      </c>
      <c r="J43" s="65">
        <f>IFERROR(IF('📥 Stock Data Input'!H43="","N/A",IF('📥 Stock Data Input'!N43&gt;'📥 Stock Data Input'!H43/100,"✅ Outperform","❌ Underperform")),"N/A")</f>
        <v/>
      </c>
      <c r="K43" s="65">
        <f>IFERROR(IF('📥 Stock Data Input'!I43="","N/A",IF('📥 Stock Data Input'!N43&gt;'📥 Stock Data Input'!I43/100,"✅ Beat Nifty","❌ Lag Nifty")),"N/A")</f>
        <v/>
      </c>
      <c r="L43" s="65">
        <f>IFERROR(IF('📥 Stock Data Input'!A43="","",IF('📥 Stock Data Input'!K43&lt;5000,"⚠️ Tiny Position",IF('📥 Stock Data Input'!N43&lt;0,"🔴 In Loss",IF(AND('📥 Stock Data Input'!I43&lt;&gt;"",'📥 Stock Data Input'!N43&lt;'📥 Stock Data Input'!I43/100),"🟡 Underperform",IF('📥 Stock Data Input'!N43&gt;0.2,"🟢 Strong","🔵 Hold"))))),"")</f>
        <v/>
      </c>
      <c r="M43" s="66">
        <f>IFERROR(IF('📥 Stock Data Input'!A43="","",IF('📥 Stock Data Input'!K43&lt;5000,"Add qty meaningfully or exit — position too small to matter",IF('📥 Stock Data Input'!N43&lt;-0.2,"Consider exit — loss &gt;20%; re-evaluate thesis",IF(AND('📥 Stock Data Input'!I43&lt;&gt;"",'📥 Stock Data Input'!N43&lt;'📥 Stock Data Input'!I43/100),"Lagging benchmark — review thesis; rotate if 2+ years",IF('📥 Stock Data Input'!N43&gt;0.2,"Strong compounder — hold; consider adding on dips","Hold — monitor quarterly; no immediate action"))))),"")</f>
        <v/>
      </c>
    </row>
    <row r="44" ht="18" customHeight="1" s="82">
      <c r="A44" s="59">
        <f>'📥 Stock Data Input'!A44</f>
        <v/>
      </c>
      <c r="B44" s="59">
        <f>'📥 Stock Data Input'!C44</f>
        <v/>
      </c>
      <c r="C44" s="60">
        <f>'📥 Stock Data Input'!D44</f>
        <v/>
      </c>
      <c r="D44" s="42">
        <f>'📥 Stock Data Input'!J44</f>
        <v/>
      </c>
      <c r="E44" s="42">
        <f>'📥 Stock Data Input'!K44</f>
        <v/>
      </c>
      <c r="F44" s="42">
        <f>'📥 Stock Data Input'!L44</f>
        <v/>
      </c>
      <c r="G44" s="43">
        <f>'📥 Stock Data Input'!M44</f>
        <v/>
      </c>
      <c r="H44" s="43">
        <f>'📥 Stock Data Input'!N44</f>
        <v/>
      </c>
      <c r="I44" s="43">
        <f>'📥 Stock Data Input'!O44</f>
        <v/>
      </c>
      <c r="J44" s="61">
        <f>IFERROR(IF('📥 Stock Data Input'!H44="","N/A",IF('📥 Stock Data Input'!N44&gt;'📥 Stock Data Input'!H44/100,"✅ Outperform","❌ Underperform")),"N/A")</f>
        <v/>
      </c>
      <c r="K44" s="61">
        <f>IFERROR(IF('📥 Stock Data Input'!I44="","N/A",IF('📥 Stock Data Input'!N44&gt;'📥 Stock Data Input'!I44/100,"✅ Beat Nifty","❌ Lag Nifty")),"N/A")</f>
        <v/>
      </c>
      <c r="L44" s="61">
        <f>IFERROR(IF('📥 Stock Data Input'!A44="","",IF('📥 Stock Data Input'!K44&lt;5000,"⚠️ Tiny Position",IF('📥 Stock Data Input'!N44&lt;0,"🔴 In Loss",IF(AND('📥 Stock Data Input'!I44&lt;&gt;"",'📥 Stock Data Input'!N44&lt;'📥 Stock Data Input'!I44/100),"🟡 Underperform",IF('📥 Stock Data Input'!N44&gt;0.2,"🟢 Strong","🔵 Hold"))))),"")</f>
        <v/>
      </c>
      <c r="M44" s="62">
        <f>IFERROR(IF('📥 Stock Data Input'!A44="","",IF('📥 Stock Data Input'!K44&lt;5000,"Add qty meaningfully or exit — position too small to matter",IF('📥 Stock Data Input'!N44&lt;-0.2,"Consider exit — loss &gt;20%; re-evaluate thesis",IF(AND('📥 Stock Data Input'!I44&lt;&gt;"",'📥 Stock Data Input'!N44&lt;'📥 Stock Data Input'!I44/100),"Lagging benchmark — review thesis; rotate if 2+ years",IF('📥 Stock Data Input'!N44&gt;0.2,"Strong compounder — hold; consider adding on dips","Hold — monitor quarterly; no immediate action"))))),"")</f>
        <v/>
      </c>
    </row>
    <row r="45" ht="18" customHeight="1" s="82">
      <c r="A45" s="63">
        <f>'📥 Stock Data Input'!A45</f>
        <v/>
      </c>
      <c r="B45" s="63">
        <f>'📥 Stock Data Input'!C45</f>
        <v/>
      </c>
      <c r="C45" s="64">
        <f>'📥 Stock Data Input'!D45</f>
        <v/>
      </c>
      <c r="D45" s="51">
        <f>'📥 Stock Data Input'!J45</f>
        <v/>
      </c>
      <c r="E45" s="51">
        <f>'📥 Stock Data Input'!K45</f>
        <v/>
      </c>
      <c r="F45" s="51">
        <f>'📥 Stock Data Input'!L45</f>
        <v/>
      </c>
      <c r="G45" s="52">
        <f>'📥 Stock Data Input'!M45</f>
        <v/>
      </c>
      <c r="H45" s="52">
        <f>'📥 Stock Data Input'!N45</f>
        <v/>
      </c>
      <c r="I45" s="52">
        <f>'📥 Stock Data Input'!O45</f>
        <v/>
      </c>
      <c r="J45" s="65">
        <f>IFERROR(IF('📥 Stock Data Input'!H45="","N/A",IF('📥 Stock Data Input'!N45&gt;'📥 Stock Data Input'!H45/100,"✅ Outperform","❌ Underperform")),"N/A")</f>
        <v/>
      </c>
      <c r="K45" s="65">
        <f>IFERROR(IF('📥 Stock Data Input'!I45="","N/A",IF('📥 Stock Data Input'!N45&gt;'📥 Stock Data Input'!I45/100,"✅ Beat Nifty","❌ Lag Nifty")),"N/A")</f>
        <v/>
      </c>
      <c r="L45" s="65">
        <f>IFERROR(IF('📥 Stock Data Input'!A45="","",IF('📥 Stock Data Input'!K45&lt;5000,"⚠️ Tiny Position",IF('📥 Stock Data Input'!N45&lt;0,"🔴 In Loss",IF(AND('📥 Stock Data Input'!I45&lt;&gt;"",'📥 Stock Data Input'!N45&lt;'📥 Stock Data Input'!I45/100),"🟡 Underperform",IF('📥 Stock Data Input'!N45&gt;0.2,"🟢 Strong","🔵 Hold"))))),"")</f>
        <v/>
      </c>
      <c r="M45" s="66">
        <f>IFERROR(IF('📥 Stock Data Input'!A45="","",IF('📥 Stock Data Input'!K45&lt;5000,"Add qty meaningfully or exit — position too small to matter",IF('📥 Stock Data Input'!N45&lt;-0.2,"Consider exit — loss &gt;20%; re-evaluate thesis",IF(AND('📥 Stock Data Input'!I45&lt;&gt;"",'📥 Stock Data Input'!N45&lt;'📥 Stock Data Input'!I45/100),"Lagging benchmark — review thesis; rotate if 2+ years",IF('📥 Stock Data Input'!N45&gt;0.2,"Strong compounder — hold; consider adding on dips","Hold — monitor quarterly; no immediate action"))))),"")</f>
        <v/>
      </c>
    </row>
    <row r="46" ht="18" customHeight="1" s="82">
      <c r="A46" s="59">
        <f>'📥 Stock Data Input'!A46</f>
        <v/>
      </c>
      <c r="B46" s="59">
        <f>'📥 Stock Data Input'!C46</f>
        <v/>
      </c>
      <c r="C46" s="60">
        <f>'📥 Stock Data Input'!D46</f>
        <v/>
      </c>
      <c r="D46" s="42">
        <f>'📥 Stock Data Input'!J46</f>
        <v/>
      </c>
      <c r="E46" s="42">
        <f>'📥 Stock Data Input'!K46</f>
        <v/>
      </c>
      <c r="F46" s="42">
        <f>'📥 Stock Data Input'!L46</f>
        <v/>
      </c>
      <c r="G46" s="43">
        <f>'📥 Stock Data Input'!M46</f>
        <v/>
      </c>
      <c r="H46" s="43">
        <f>'📥 Stock Data Input'!N46</f>
        <v/>
      </c>
      <c r="I46" s="43">
        <f>'📥 Stock Data Input'!O46</f>
        <v/>
      </c>
      <c r="J46" s="61">
        <f>IFERROR(IF('📥 Stock Data Input'!H46="","N/A",IF('📥 Stock Data Input'!N46&gt;'📥 Stock Data Input'!H46/100,"✅ Outperform","❌ Underperform")),"N/A")</f>
        <v/>
      </c>
      <c r="K46" s="61">
        <f>IFERROR(IF('📥 Stock Data Input'!I46="","N/A",IF('📥 Stock Data Input'!N46&gt;'📥 Stock Data Input'!I46/100,"✅ Beat Nifty","❌ Lag Nifty")),"N/A")</f>
        <v/>
      </c>
      <c r="L46" s="61">
        <f>IFERROR(IF('📥 Stock Data Input'!A46="","",IF('📥 Stock Data Input'!K46&lt;5000,"⚠️ Tiny Position",IF('📥 Stock Data Input'!N46&lt;0,"🔴 In Loss",IF(AND('📥 Stock Data Input'!I46&lt;&gt;"",'📥 Stock Data Input'!N46&lt;'📥 Stock Data Input'!I46/100),"🟡 Underperform",IF('📥 Stock Data Input'!N46&gt;0.2,"🟢 Strong","🔵 Hold"))))),"")</f>
        <v/>
      </c>
      <c r="M46" s="62">
        <f>IFERROR(IF('📥 Stock Data Input'!A46="","",IF('📥 Stock Data Input'!K46&lt;5000,"Add qty meaningfully or exit — position too small to matter",IF('📥 Stock Data Input'!N46&lt;-0.2,"Consider exit — loss &gt;20%; re-evaluate thesis",IF(AND('📥 Stock Data Input'!I46&lt;&gt;"",'📥 Stock Data Input'!N46&lt;'📥 Stock Data Input'!I46/100),"Lagging benchmark — review thesis; rotate if 2+ years",IF('📥 Stock Data Input'!N46&gt;0.2,"Strong compounder — hold; consider adding on dips","Hold — monitor quarterly; no immediate action"))))),"")</f>
        <v/>
      </c>
    </row>
    <row r="47" ht="18" customHeight="1" s="82">
      <c r="A47" s="63">
        <f>'📥 Stock Data Input'!A47</f>
        <v/>
      </c>
      <c r="B47" s="63">
        <f>'📥 Stock Data Input'!C47</f>
        <v/>
      </c>
      <c r="C47" s="64">
        <f>'📥 Stock Data Input'!D47</f>
        <v/>
      </c>
      <c r="D47" s="51">
        <f>'📥 Stock Data Input'!J47</f>
        <v/>
      </c>
      <c r="E47" s="51">
        <f>'📥 Stock Data Input'!K47</f>
        <v/>
      </c>
      <c r="F47" s="51">
        <f>'📥 Stock Data Input'!L47</f>
        <v/>
      </c>
      <c r="G47" s="52">
        <f>'📥 Stock Data Input'!M47</f>
        <v/>
      </c>
      <c r="H47" s="52">
        <f>'📥 Stock Data Input'!N47</f>
        <v/>
      </c>
      <c r="I47" s="52">
        <f>'📥 Stock Data Input'!O47</f>
        <v/>
      </c>
      <c r="J47" s="65">
        <f>IFERROR(IF('📥 Stock Data Input'!H47="","N/A",IF('📥 Stock Data Input'!N47&gt;'📥 Stock Data Input'!H47/100,"✅ Outperform","❌ Underperform")),"N/A")</f>
        <v/>
      </c>
      <c r="K47" s="65">
        <f>IFERROR(IF('📥 Stock Data Input'!I47="","N/A",IF('📥 Stock Data Input'!N47&gt;'📥 Stock Data Input'!I47/100,"✅ Beat Nifty","❌ Lag Nifty")),"N/A")</f>
        <v/>
      </c>
      <c r="L47" s="65">
        <f>IFERROR(IF('📥 Stock Data Input'!A47="","",IF('📥 Stock Data Input'!K47&lt;5000,"⚠️ Tiny Position",IF('📥 Stock Data Input'!N47&lt;0,"🔴 In Loss",IF(AND('📥 Stock Data Input'!I47&lt;&gt;"",'📥 Stock Data Input'!N47&lt;'📥 Stock Data Input'!I47/100),"🟡 Underperform",IF('📥 Stock Data Input'!N47&gt;0.2,"🟢 Strong","🔵 Hold"))))),"")</f>
        <v/>
      </c>
      <c r="M47" s="66">
        <f>IFERROR(IF('📥 Stock Data Input'!A47="","",IF('📥 Stock Data Input'!K47&lt;5000,"Add qty meaningfully or exit — position too small to matter",IF('📥 Stock Data Input'!N47&lt;-0.2,"Consider exit — loss &gt;20%; re-evaluate thesis",IF(AND('📥 Stock Data Input'!I47&lt;&gt;"",'📥 Stock Data Input'!N47&lt;'📥 Stock Data Input'!I47/100),"Lagging benchmark — review thesis; rotate if 2+ years",IF('📥 Stock Data Input'!N47&gt;0.2,"Strong compounder — hold; consider adding on dips","Hold — monitor quarterly; no immediate action"))))),"")</f>
        <v/>
      </c>
    </row>
    <row r="48" ht="18" customHeight="1" s="82">
      <c r="A48" s="59">
        <f>'📥 Stock Data Input'!A48</f>
        <v/>
      </c>
      <c r="B48" s="59">
        <f>'📥 Stock Data Input'!C48</f>
        <v/>
      </c>
      <c r="C48" s="60">
        <f>'📥 Stock Data Input'!D48</f>
        <v/>
      </c>
      <c r="D48" s="42">
        <f>'📥 Stock Data Input'!J48</f>
        <v/>
      </c>
      <c r="E48" s="42">
        <f>'📥 Stock Data Input'!K48</f>
        <v/>
      </c>
      <c r="F48" s="42">
        <f>'📥 Stock Data Input'!L48</f>
        <v/>
      </c>
      <c r="G48" s="43">
        <f>'📥 Stock Data Input'!M48</f>
        <v/>
      </c>
      <c r="H48" s="43">
        <f>'📥 Stock Data Input'!N48</f>
        <v/>
      </c>
      <c r="I48" s="43">
        <f>'📥 Stock Data Input'!O48</f>
        <v/>
      </c>
      <c r="J48" s="61">
        <f>IFERROR(IF('📥 Stock Data Input'!H48="","N/A",IF('📥 Stock Data Input'!N48&gt;'📥 Stock Data Input'!H48/100,"✅ Outperform","❌ Underperform")),"N/A")</f>
        <v/>
      </c>
      <c r="K48" s="61">
        <f>IFERROR(IF('📥 Stock Data Input'!I48="","N/A",IF('📥 Stock Data Input'!N48&gt;'📥 Stock Data Input'!I48/100,"✅ Beat Nifty","❌ Lag Nifty")),"N/A")</f>
        <v/>
      </c>
      <c r="L48" s="61">
        <f>IFERROR(IF('📥 Stock Data Input'!A48="","",IF('📥 Stock Data Input'!K48&lt;5000,"⚠️ Tiny Position",IF('📥 Stock Data Input'!N48&lt;0,"🔴 In Loss",IF(AND('📥 Stock Data Input'!I48&lt;&gt;"",'📥 Stock Data Input'!N48&lt;'📥 Stock Data Input'!I48/100),"🟡 Underperform",IF('📥 Stock Data Input'!N48&gt;0.2,"🟢 Strong","🔵 Hold"))))),"")</f>
        <v/>
      </c>
      <c r="M48" s="62">
        <f>IFERROR(IF('📥 Stock Data Input'!A48="","",IF('📥 Stock Data Input'!K48&lt;5000,"Add qty meaningfully or exit — position too small to matter",IF('📥 Stock Data Input'!N48&lt;-0.2,"Consider exit — loss &gt;20%; re-evaluate thesis",IF(AND('📥 Stock Data Input'!I48&lt;&gt;"",'📥 Stock Data Input'!N48&lt;'📥 Stock Data Input'!I48/100),"Lagging benchmark — review thesis; rotate if 2+ years",IF('📥 Stock Data Input'!N48&gt;0.2,"Strong compounder — hold; consider adding on dips","Hold — monitor quarterly; no immediate action"))))),"")</f>
        <v/>
      </c>
    </row>
    <row r="49" ht="18" customHeight="1" s="82">
      <c r="A49" s="63">
        <f>'📥 Stock Data Input'!A49</f>
        <v/>
      </c>
      <c r="B49" s="63">
        <f>'📥 Stock Data Input'!C49</f>
        <v/>
      </c>
      <c r="C49" s="64">
        <f>'📥 Stock Data Input'!D49</f>
        <v/>
      </c>
      <c r="D49" s="51">
        <f>'📥 Stock Data Input'!J49</f>
        <v/>
      </c>
      <c r="E49" s="51">
        <f>'📥 Stock Data Input'!K49</f>
        <v/>
      </c>
      <c r="F49" s="51">
        <f>'📥 Stock Data Input'!L49</f>
        <v/>
      </c>
      <c r="G49" s="52">
        <f>'📥 Stock Data Input'!M49</f>
        <v/>
      </c>
      <c r="H49" s="52">
        <f>'📥 Stock Data Input'!N49</f>
        <v/>
      </c>
      <c r="I49" s="52">
        <f>'📥 Stock Data Input'!O49</f>
        <v/>
      </c>
      <c r="J49" s="65">
        <f>IFERROR(IF('📥 Stock Data Input'!H49="","N/A",IF('📥 Stock Data Input'!N49&gt;'📥 Stock Data Input'!H49/100,"✅ Outperform","❌ Underperform")),"N/A")</f>
        <v/>
      </c>
      <c r="K49" s="65">
        <f>IFERROR(IF('📥 Stock Data Input'!I49="","N/A",IF('📥 Stock Data Input'!N49&gt;'📥 Stock Data Input'!I49/100,"✅ Beat Nifty","❌ Lag Nifty")),"N/A")</f>
        <v/>
      </c>
      <c r="L49" s="65">
        <f>IFERROR(IF('📥 Stock Data Input'!A49="","",IF('📥 Stock Data Input'!K49&lt;5000,"⚠️ Tiny Position",IF('📥 Stock Data Input'!N49&lt;0,"🔴 In Loss",IF(AND('📥 Stock Data Input'!I49&lt;&gt;"",'📥 Stock Data Input'!N49&lt;'📥 Stock Data Input'!I49/100),"🟡 Underperform",IF('📥 Stock Data Input'!N49&gt;0.2,"🟢 Strong","🔵 Hold"))))),"")</f>
        <v/>
      </c>
      <c r="M49" s="66">
        <f>IFERROR(IF('📥 Stock Data Input'!A49="","",IF('📥 Stock Data Input'!K49&lt;5000,"Add qty meaningfully or exit — position too small to matter",IF('📥 Stock Data Input'!N49&lt;-0.2,"Consider exit — loss &gt;20%; re-evaluate thesis",IF(AND('📥 Stock Data Input'!I49&lt;&gt;"",'📥 Stock Data Input'!N49&lt;'📥 Stock Data Input'!I49/100),"Lagging benchmark — review thesis; rotate if 2+ years",IF('📥 Stock Data Input'!N49&gt;0.2,"Strong compounder — hold; consider adding on dips","Hold — monitor quarterly; no immediate action"))))),"")</f>
        <v/>
      </c>
    </row>
    <row r="50" ht="18" customHeight="1" s="82">
      <c r="A50" s="59">
        <f>'📥 Stock Data Input'!A50</f>
        <v/>
      </c>
      <c r="B50" s="59">
        <f>'📥 Stock Data Input'!C50</f>
        <v/>
      </c>
      <c r="C50" s="60">
        <f>'📥 Stock Data Input'!D50</f>
        <v/>
      </c>
      <c r="D50" s="42">
        <f>'📥 Stock Data Input'!J50</f>
        <v/>
      </c>
      <c r="E50" s="42">
        <f>'📥 Stock Data Input'!K50</f>
        <v/>
      </c>
      <c r="F50" s="42">
        <f>'📥 Stock Data Input'!L50</f>
        <v/>
      </c>
      <c r="G50" s="43">
        <f>'📥 Stock Data Input'!M50</f>
        <v/>
      </c>
      <c r="H50" s="43">
        <f>'📥 Stock Data Input'!N50</f>
        <v/>
      </c>
      <c r="I50" s="43">
        <f>'📥 Stock Data Input'!O50</f>
        <v/>
      </c>
      <c r="J50" s="61">
        <f>IFERROR(IF('📥 Stock Data Input'!H50="","N/A",IF('📥 Stock Data Input'!N50&gt;'📥 Stock Data Input'!H50/100,"✅ Outperform","❌ Underperform")),"N/A")</f>
        <v/>
      </c>
      <c r="K50" s="61">
        <f>IFERROR(IF('📥 Stock Data Input'!I50="","N/A",IF('📥 Stock Data Input'!N50&gt;'📥 Stock Data Input'!I50/100,"✅ Beat Nifty","❌ Lag Nifty")),"N/A")</f>
        <v/>
      </c>
      <c r="L50" s="61">
        <f>IFERROR(IF('📥 Stock Data Input'!A50="","",IF('📥 Stock Data Input'!K50&lt;5000,"⚠️ Tiny Position",IF('📥 Stock Data Input'!N50&lt;0,"🔴 In Loss",IF(AND('📥 Stock Data Input'!I50&lt;&gt;"",'📥 Stock Data Input'!N50&lt;'📥 Stock Data Input'!I50/100),"🟡 Underperform",IF('📥 Stock Data Input'!N50&gt;0.2,"🟢 Strong","🔵 Hold"))))),"")</f>
        <v/>
      </c>
      <c r="M50" s="62">
        <f>IFERROR(IF('📥 Stock Data Input'!A50="","",IF('📥 Stock Data Input'!K50&lt;5000,"Add qty meaningfully or exit — position too small to matter",IF('📥 Stock Data Input'!N50&lt;-0.2,"Consider exit — loss &gt;20%; re-evaluate thesis",IF(AND('📥 Stock Data Input'!I50&lt;&gt;"",'📥 Stock Data Input'!N50&lt;'📥 Stock Data Input'!I50/100),"Lagging benchmark — review thesis; rotate if 2+ years",IF('📥 Stock Data Input'!N50&gt;0.2,"Strong compounder — hold; consider adding on dips","Hold — monitor quarterly; no immediate action"))))),"")</f>
        <v/>
      </c>
    </row>
    <row r="51" ht="18" customHeight="1" s="82">
      <c r="A51" s="63">
        <f>'📥 Stock Data Input'!A51</f>
        <v/>
      </c>
      <c r="B51" s="63">
        <f>'📥 Stock Data Input'!C51</f>
        <v/>
      </c>
      <c r="C51" s="64">
        <f>'📥 Stock Data Input'!D51</f>
        <v/>
      </c>
      <c r="D51" s="51">
        <f>'📥 Stock Data Input'!J51</f>
        <v/>
      </c>
      <c r="E51" s="51">
        <f>'📥 Stock Data Input'!K51</f>
        <v/>
      </c>
      <c r="F51" s="51">
        <f>'📥 Stock Data Input'!L51</f>
        <v/>
      </c>
      <c r="G51" s="52">
        <f>'📥 Stock Data Input'!M51</f>
        <v/>
      </c>
      <c r="H51" s="52">
        <f>'📥 Stock Data Input'!N51</f>
        <v/>
      </c>
      <c r="I51" s="52">
        <f>'📥 Stock Data Input'!O51</f>
        <v/>
      </c>
      <c r="J51" s="65">
        <f>IFERROR(IF('📥 Stock Data Input'!H51="","N/A",IF('📥 Stock Data Input'!N51&gt;'📥 Stock Data Input'!H51/100,"✅ Outperform","❌ Underperform")),"N/A")</f>
        <v/>
      </c>
      <c r="K51" s="65">
        <f>IFERROR(IF('📥 Stock Data Input'!I51="","N/A",IF('📥 Stock Data Input'!N51&gt;'📥 Stock Data Input'!I51/100,"✅ Beat Nifty","❌ Lag Nifty")),"N/A")</f>
        <v/>
      </c>
      <c r="L51" s="65">
        <f>IFERROR(IF('📥 Stock Data Input'!A51="","",IF('📥 Stock Data Input'!K51&lt;5000,"⚠️ Tiny Position",IF('📥 Stock Data Input'!N51&lt;0,"🔴 In Loss",IF(AND('📥 Stock Data Input'!I51&lt;&gt;"",'📥 Stock Data Input'!N51&lt;'📥 Stock Data Input'!I51/100),"🟡 Underperform",IF('📥 Stock Data Input'!N51&gt;0.2,"🟢 Strong","🔵 Hold"))))),"")</f>
        <v/>
      </c>
      <c r="M51" s="66">
        <f>IFERROR(IF('📥 Stock Data Input'!A51="","",IF('📥 Stock Data Input'!K51&lt;5000,"Add qty meaningfully or exit — position too small to matter",IF('📥 Stock Data Input'!N51&lt;-0.2,"Consider exit — loss &gt;20%; re-evaluate thesis",IF(AND('📥 Stock Data Input'!I51&lt;&gt;"",'📥 Stock Data Input'!N51&lt;'📥 Stock Data Input'!I51/100),"Lagging benchmark — review thesis; rotate if 2+ years",IF('📥 Stock Data Input'!N51&gt;0.2,"Strong compounder — hold; consider adding on dips","Hold — monitor quarterly; no immediate action"))))),"")</f>
        <v/>
      </c>
    </row>
    <row r="52" ht="18" customHeight="1" s="82">
      <c r="A52" s="59">
        <f>'📥 Stock Data Input'!A52</f>
        <v/>
      </c>
      <c r="B52" s="59">
        <f>'📥 Stock Data Input'!C52</f>
        <v/>
      </c>
      <c r="C52" s="60">
        <f>'📥 Stock Data Input'!D52</f>
        <v/>
      </c>
      <c r="D52" s="42">
        <f>'📥 Stock Data Input'!J52</f>
        <v/>
      </c>
      <c r="E52" s="42">
        <f>'📥 Stock Data Input'!K52</f>
        <v/>
      </c>
      <c r="F52" s="42">
        <f>'📥 Stock Data Input'!L52</f>
        <v/>
      </c>
      <c r="G52" s="43">
        <f>'📥 Stock Data Input'!M52</f>
        <v/>
      </c>
      <c r="H52" s="43">
        <f>'📥 Stock Data Input'!N52</f>
        <v/>
      </c>
      <c r="I52" s="43">
        <f>'📥 Stock Data Input'!O52</f>
        <v/>
      </c>
      <c r="J52" s="61">
        <f>IFERROR(IF('📥 Stock Data Input'!H52="","N/A",IF('📥 Stock Data Input'!N52&gt;'📥 Stock Data Input'!H52/100,"✅ Outperform","❌ Underperform")),"N/A")</f>
        <v/>
      </c>
      <c r="K52" s="61">
        <f>IFERROR(IF('📥 Stock Data Input'!I52="","N/A",IF('📥 Stock Data Input'!N52&gt;'📥 Stock Data Input'!I52/100,"✅ Beat Nifty","❌ Lag Nifty")),"N/A")</f>
        <v/>
      </c>
      <c r="L52" s="61">
        <f>IFERROR(IF('📥 Stock Data Input'!A52="","",IF('📥 Stock Data Input'!K52&lt;5000,"⚠️ Tiny Position",IF('📥 Stock Data Input'!N52&lt;0,"🔴 In Loss",IF(AND('📥 Stock Data Input'!I52&lt;&gt;"",'📥 Stock Data Input'!N52&lt;'📥 Stock Data Input'!I52/100),"🟡 Underperform",IF('📥 Stock Data Input'!N52&gt;0.2,"🟢 Strong","🔵 Hold"))))),"")</f>
        <v/>
      </c>
      <c r="M52" s="62">
        <f>IFERROR(IF('📥 Stock Data Input'!A52="","",IF('📥 Stock Data Input'!K52&lt;5000,"Add qty meaningfully or exit — position too small to matter",IF('📥 Stock Data Input'!N52&lt;-0.2,"Consider exit — loss &gt;20%; re-evaluate thesis",IF(AND('📥 Stock Data Input'!I52&lt;&gt;"",'📥 Stock Data Input'!N52&lt;'📥 Stock Data Input'!I52/100),"Lagging benchmark — review thesis; rotate if 2+ years",IF('📥 Stock Data Input'!N52&gt;0.2,"Strong compounder — hold; consider adding on dips","Hold — monitor quarterly; no immediate action"))))),"")</f>
        <v/>
      </c>
    </row>
    <row r="53" ht="18" customHeight="1" s="82">
      <c r="A53" s="63">
        <f>'📥 Stock Data Input'!A53</f>
        <v/>
      </c>
      <c r="B53" s="63">
        <f>'📥 Stock Data Input'!C53</f>
        <v/>
      </c>
      <c r="C53" s="64">
        <f>'📥 Stock Data Input'!D53</f>
        <v/>
      </c>
      <c r="D53" s="51">
        <f>'📥 Stock Data Input'!J53</f>
        <v/>
      </c>
      <c r="E53" s="51">
        <f>'📥 Stock Data Input'!K53</f>
        <v/>
      </c>
      <c r="F53" s="51">
        <f>'📥 Stock Data Input'!L53</f>
        <v/>
      </c>
      <c r="G53" s="52">
        <f>'📥 Stock Data Input'!M53</f>
        <v/>
      </c>
      <c r="H53" s="52">
        <f>'📥 Stock Data Input'!N53</f>
        <v/>
      </c>
      <c r="I53" s="52">
        <f>'📥 Stock Data Input'!O53</f>
        <v/>
      </c>
      <c r="J53" s="65">
        <f>IFERROR(IF('📥 Stock Data Input'!H53="","N/A",IF('📥 Stock Data Input'!N53&gt;'📥 Stock Data Input'!H53/100,"✅ Outperform","❌ Underperform")),"N/A")</f>
        <v/>
      </c>
      <c r="K53" s="65">
        <f>IFERROR(IF('📥 Stock Data Input'!I53="","N/A",IF('📥 Stock Data Input'!N53&gt;'📥 Stock Data Input'!I53/100,"✅ Beat Nifty","❌ Lag Nifty")),"N/A")</f>
        <v/>
      </c>
      <c r="L53" s="65">
        <f>IFERROR(IF('📥 Stock Data Input'!A53="","",IF('📥 Stock Data Input'!K53&lt;5000,"⚠️ Tiny Position",IF('📥 Stock Data Input'!N53&lt;0,"🔴 In Loss",IF(AND('📥 Stock Data Input'!I53&lt;&gt;"",'📥 Stock Data Input'!N53&lt;'📥 Stock Data Input'!I53/100),"🟡 Underperform",IF('📥 Stock Data Input'!N53&gt;0.2,"🟢 Strong","🔵 Hold"))))),"")</f>
        <v/>
      </c>
      <c r="M53" s="66">
        <f>IFERROR(IF('📥 Stock Data Input'!A53="","",IF('📥 Stock Data Input'!K53&lt;5000,"Add qty meaningfully or exit — position too small to matter",IF('📥 Stock Data Input'!N53&lt;-0.2,"Consider exit — loss &gt;20%; re-evaluate thesis",IF(AND('📥 Stock Data Input'!I53&lt;&gt;"",'📥 Stock Data Input'!N53&lt;'📥 Stock Data Input'!I53/100),"Lagging benchmark — review thesis; rotate if 2+ years",IF('📥 Stock Data Input'!N53&gt;0.2,"Strong compounder — hold; consider adding on dips","Hold — monitor quarterly; no immediate action"))))),"")</f>
        <v/>
      </c>
    </row>
    <row r="54" ht="14.25" customHeight="1" s="82"/>
    <row r="55" ht="14.25" customHeight="1" s="82"/>
    <row r="56" ht="14.25" customHeight="1" s="82"/>
    <row r="57" ht="14.25" customHeight="1" s="82"/>
    <row r="58" ht="14.25" customHeight="1" s="82"/>
    <row r="59" ht="14.25" customHeight="1" s="82"/>
    <row r="60" ht="14.25" customHeight="1" s="82"/>
    <row r="61" ht="14.25" customHeight="1" s="82"/>
    <row r="62" ht="14.25" customHeight="1" s="82"/>
    <row r="63" ht="14.25" customHeight="1" s="82"/>
    <row r="64" ht="14.25" customHeight="1" s="82"/>
    <row r="65" ht="14.25" customHeight="1" s="82"/>
    <row r="66" ht="14.25" customHeight="1" s="82"/>
    <row r="67" ht="14.25" customHeight="1" s="82"/>
    <row r="68" ht="14.25" customHeight="1" s="82"/>
    <row r="69" ht="14.25" customHeight="1" s="82"/>
    <row r="70" ht="14.25" customHeight="1" s="82"/>
    <row r="71" ht="14.25" customHeight="1" s="82"/>
    <row r="72" ht="14.25" customHeight="1" s="82"/>
    <row r="73" ht="14.25" customHeight="1" s="82"/>
    <row r="74" ht="14.25" customHeight="1" s="82"/>
    <row r="75" ht="14.25" customHeight="1" s="82"/>
    <row r="76" ht="14.25" customHeight="1" s="82"/>
    <row r="77" ht="14.25" customHeight="1" s="82"/>
    <row r="78" ht="14.25" customHeight="1" s="82"/>
    <row r="79" ht="14.25" customHeight="1" s="82"/>
    <row r="80" ht="14.25" customHeight="1" s="82"/>
    <row r="81" ht="14.25" customHeight="1" s="82"/>
    <row r="82" ht="14.25" customHeight="1" s="82"/>
    <row r="83" ht="14.25" customHeight="1" s="82"/>
    <row r="84" ht="14.25" customHeight="1" s="82"/>
    <row r="85" ht="14.25" customHeight="1" s="82"/>
    <row r="86" ht="14.25" customHeight="1" s="82"/>
    <row r="87" ht="14.25" customHeight="1" s="82"/>
    <row r="88" ht="14.25" customHeight="1" s="82"/>
    <row r="89" ht="14.25" customHeight="1" s="82"/>
    <row r="90" ht="14.25" customHeight="1" s="82"/>
    <row r="91" ht="14.25" customHeight="1" s="82"/>
    <row r="92" ht="14.25" customHeight="1" s="82"/>
    <row r="93" ht="14.25" customHeight="1" s="82"/>
    <row r="94" ht="14.25" customHeight="1" s="82"/>
    <row r="95" ht="14.25" customHeight="1" s="82"/>
    <row r="96" ht="14.25" customHeight="1" s="82"/>
    <row r="97" ht="14.25" customHeight="1" s="82"/>
    <row r="98" ht="14.25" customHeight="1" s="82"/>
    <row r="99" ht="14.25" customHeight="1" s="82"/>
    <row r="100" ht="14.25" customHeight="1" s="82"/>
    <row r="101" ht="14.25" customHeight="1" s="82"/>
    <row r="102" ht="14.25" customHeight="1" s="82"/>
    <row r="103" ht="14.25" customHeight="1" s="82"/>
    <row r="104" ht="14.25" customHeight="1" s="82"/>
    <row r="105" ht="14.25" customHeight="1" s="82"/>
    <row r="106" ht="14.25" customHeight="1" s="82"/>
    <row r="107" ht="14.25" customHeight="1" s="82"/>
    <row r="108" ht="14.25" customHeight="1" s="82"/>
    <row r="109" ht="14.25" customHeight="1" s="82"/>
    <row r="110" ht="14.25" customHeight="1" s="82"/>
    <row r="111" ht="14.25" customHeight="1" s="82"/>
    <row r="112" ht="14.25" customHeight="1" s="82"/>
    <row r="113" ht="14.25" customHeight="1" s="82"/>
    <row r="114" ht="14.25" customHeight="1" s="82"/>
    <row r="115" ht="14.25" customHeight="1" s="82"/>
    <row r="116" ht="14.25" customHeight="1" s="82"/>
    <row r="117" ht="14.25" customHeight="1" s="82"/>
    <row r="118" ht="14.25" customHeight="1" s="82"/>
    <row r="119" ht="14.25" customHeight="1" s="82"/>
    <row r="120" ht="14.25" customHeight="1" s="82"/>
    <row r="121" ht="14.25" customHeight="1" s="82"/>
    <row r="122" ht="14.25" customHeight="1" s="82"/>
    <row r="123" ht="14.25" customHeight="1" s="82"/>
    <row r="124" ht="14.25" customHeight="1" s="82"/>
    <row r="125" ht="14.25" customHeight="1" s="82"/>
    <row r="126" ht="14.25" customHeight="1" s="82"/>
    <row r="127" ht="14.25" customHeight="1" s="82"/>
    <row r="128" ht="14.25" customHeight="1" s="82"/>
    <row r="129" ht="14.25" customHeight="1" s="82"/>
    <row r="130" ht="14.25" customHeight="1" s="82"/>
    <row r="131" ht="14.25" customHeight="1" s="82"/>
    <row r="132" ht="14.25" customHeight="1" s="82"/>
    <row r="133" ht="14.25" customHeight="1" s="82"/>
    <row r="134" ht="14.25" customHeight="1" s="82"/>
    <row r="135" ht="14.25" customHeight="1" s="82"/>
    <row r="136" ht="14.25" customHeight="1" s="82"/>
    <row r="137" ht="14.25" customHeight="1" s="82"/>
    <row r="138" ht="14.25" customHeight="1" s="82"/>
    <row r="139" ht="14.25" customHeight="1" s="82"/>
    <row r="140" ht="14.25" customHeight="1" s="82"/>
    <row r="141" ht="14.25" customHeight="1" s="82"/>
    <row r="142" ht="14.25" customHeight="1" s="82"/>
    <row r="143" ht="14.25" customHeight="1" s="82"/>
    <row r="144" ht="14.25" customHeight="1" s="82"/>
    <row r="145" ht="14.25" customHeight="1" s="82"/>
    <row r="146" ht="14.25" customHeight="1" s="82"/>
    <row r="147" ht="14.25" customHeight="1" s="82"/>
    <row r="148" ht="14.25" customHeight="1" s="82"/>
    <row r="149" ht="14.25" customHeight="1" s="82"/>
    <row r="150" ht="14.25" customHeight="1" s="82"/>
    <row r="151" ht="14.25" customHeight="1" s="82"/>
    <row r="152" ht="14.25" customHeight="1" s="82"/>
    <row r="153" ht="14.25" customHeight="1" s="82"/>
    <row r="154" ht="14.25" customHeight="1" s="82"/>
    <row r="155" ht="14.25" customHeight="1" s="82"/>
    <row r="156" ht="14.25" customHeight="1" s="82"/>
    <row r="157" ht="14.25" customHeight="1" s="82"/>
    <row r="158" ht="14.25" customHeight="1" s="82"/>
    <row r="159" ht="14.25" customHeight="1" s="82"/>
    <row r="160" ht="14.25" customHeight="1" s="82"/>
    <row r="161" ht="14.25" customHeight="1" s="82"/>
    <row r="162" ht="14.25" customHeight="1" s="82"/>
    <row r="163" ht="14.25" customHeight="1" s="82"/>
    <row r="164" ht="14.25" customHeight="1" s="82"/>
    <row r="165" ht="14.25" customHeight="1" s="82"/>
    <row r="166" ht="14.25" customHeight="1" s="82"/>
    <row r="167" ht="14.25" customHeight="1" s="82"/>
    <row r="168" ht="14.25" customHeight="1" s="82"/>
    <row r="169" ht="14.25" customHeight="1" s="82"/>
    <row r="170" ht="14.25" customHeight="1" s="82"/>
    <row r="171" ht="14.25" customHeight="1" s="82"/>
    <row r="172" ht="14.25" customHeight="1" s="82"/>
    <row r="173" ht="14.25" customHeight="1" s="82"/>
    <row r="174" ht="14.25" customHeight="1" s="82"/>
    <row r="175" ht="14.25" customHeight="1" s="82"/>
    <row r="176" ht="14.25" customHeight="1" s="82"/>
    <row r="177" ht="14.25" customHeight="1" s="82"/>
    <row r="178" ht="14.25" customHeight="1" s="82"/>
    <row r="179" ht="14.25" customHeight="1" s="82"/>
    <row r="180" ht="14.25" customHeight="1" s="82"/>
    <row r="181" ht="14.25" customHeight="1" s="82"/>
    <row r="182" ht="14.25" customHeight="1" s="82"/>
    <row r="183" ht="14.25" customHeight="1" s="82"/>
    <row r="184" ht="14.25" customHeight="1" s="82"/>
    <row r="185" ht="14.25" customHeight="1" s="82"/>
    <row r="186" ht="14.25" customHeight="1" s="82"/>
    <row r="187" ht="14.25" customHeight="1" s="82"/>
    <row r="188" ht="14.25" customHeight="1" s="82"/>
    <row r="189" ht="14.25" customHeight="1" s="82"/>
    <row r="190" ht="14.25" customHeight="1" s="82"/>
    <row r="191" ht="14.25" customHeight="1" s="82"/>
    <row r="192" ht="14.25" customHeight="1" s="82"/>
    <row r="193" ht="14.25" customHeight="1" s="82"/>
    <row r="194" ht="14.25" customHeight="1" s="82"/>
    <row r="195" ht="14.25" customHeight="1" s="82"/>
    <row r="196" ht="14.25" customHeight="1" s="82"/>
    <row r="197" ht="14.25" customHeight="1" s="82"/>
    <row r="198" ht="14.25" customHeight="1" s="82"/>
    <row r="199" ht="14.25" customHeight="1" s="82"/>
    <row r="200" ht="14.25" customHeight="1" s="82"/>
    <row r="201" ht="14.25" customHeight="1" s="82"/>
    <row r="202" ht="14.25" customHeight="1" s="82"/>
    <row r="203" ht="14.25" customHeight="1" s="82"/>
    <row r="204" ht="14.25" customHeight="1" s="82"/>
    <row r="205" ht="14.25" customHeight="1" s="82"/>
    <row r="206" ht="14.25" customHeight="1" s="82"/>
    <row r="207" ht="14.25" customHeight="1" s="82"/>
    <row r="208" ht="14.25" customHeight="1" s="82"/>
    <row r="209" ht="14.25" customHeight="1" s="82"/>
    <row r="210" ht="14.25" customHeight="1" s="82"/>
    <row r="211" ht="14.25" customHeight="1" s="82"/>
    <row r="212" ht="14.25" customHeight="1" s="82"/>
    <row r="213" ht="14.25" customHeight="1" s="82"/>
    <row r="214" ht="14.25" customHeight="1" s="82"/>
    <row r="215" ht="14.25" customHeight="1" s="82"/>
    <row r="216" ht="14.25" customHeight="1" s="82"/>
    <row r="217" ht="14.25" customHeight="1" s="82"/>
    <row r="218" ht="14.25" customHeight="1" s="82"/>
    <row r="219" ht="14.25" customHeight="1" s="82"/>
    <row r="220" ht="14.25" customHeight="1" s="82"/>
    <row r="221" ht="14.25" customHeight="1" s="82"/>
    <row r="222" ht="14.25" customHeight="1" s="82"/>
    <row r="223" ht="14.25" customHeight="1" s="82"/>
    <row r="224" ht="14.25" customHeight="1" s="82"/>
    <row r="225" ht="14.25" customHeight="1" s="82"/>
    <row r="226" ht="14.25" customHeight="1" s="82"/>
    <row r="227" ht="14.25" customHeight="1" s="82"/>
    <row r="228" ht="14.25" customHeight="1" s="82"/>
    <row r="229" ht="14.25" customHeight="1" s="82"/>
    <row r="230" ht="14.25" customHeight="1" s="82"/>
    <row r="231" ht="14.25" customHeight="1" s="82"/>
    <row r="232" ht="14.25" customHeight="1" s="82"/>
    <row r="233" ht="14.25" customHeight="1" s="82"/>
    <row r="234" ht="14.25" customHeight="1" s="82"/>
    <row r="235" ht="14.25" customHeight="1" s="82"/>
    <row r="236" ht="14.25" customHeight="1" s="82"/>
    <row r="237" ht="14.25" customHeight="1" s="82"/>
    <row r="238" ht="14.25" customHeight="1" s="82"/>
    <row r="239" ht="14.25" customHeight="1" s="82"/>
    <row r="240" ht="14.25" customHeight="1" s="82"/>
    <row r="241" ht="14.25" customHeight="1" s="82"/>
    <row r="242" ht="14.25" customHeight="1" s="82"/>
    <row r="243" ht="14.25" customHeight="1" s="82"/>
    <row r="244" ht="14.25" customHeight="1" s="82"/>
    <row r="245" ht="14.25" customHeight="1" s="82"/>
    <row r="246" ht="14.25" customHeight="1" s="82"/>
    <row r="247" ht="14.25" customHeight="1" s="82"/>
    <row r="248" ht="14.25" customHeight="1" s="82"/>
    <row r="249" ht="14.25" customHeight="1" s="82"/>
    <row r="250" ht="14.25" customHeight="1" s="82"/>
    <row r="251" ht="14.25" customHeight="1" s="82"/>
    <row r="252" ht="14.25" customHeight="1" s="82"/>
    <row r="253" ht="14.25" customHeight="1" s="82"/>
    <row r="254" ht="14.25" customHeight="1" s="82"/>
    <row r="255" ht="14.25" customHeight="1" s="82"/>
    <row r="256" ht="14.25" customHeight="1" s="82"/>
    <row r="257" ht="14.25" customHeight="1" s="82"/>
    <row r="258" ht="14.25" customHeight="1" s="82"/>
    <row r="259" ht="14.25" customHeight="1" s="82"/>
    <row r="260" ht="14.25" customHeight="1" s="82"/>
    <row r="261" ht="14.25" customHeight="1" s="82"/>
    <row r="262" ht="14.25" customHeight="1" s="82"/>
    <row r="263" ht="14.25" customHeight="1" s="82"/>
    <row r="264" ht="14.25" customHeight="1" s="82"/>
    <row r="265" ht="14.25" customHeight="1" s="82"/>
    <row r="266" ht="14.25" customHeight="1" s="82"/>
    <row r="267" ht="14.25" customHeight="1" s="82"/>
    <row r="268" ht="14.25" customHeight="1" s="82"/>
    <row r="269" ht="14.25" customHeight="1" s="82"/>
    <row r="270" ht="14.25" customHeight="1" s="82"/>
    <row r="271" ht="14.25" customHeight="1" s="82"/>
    <row r="272" ht="14.25" customHeight="1" s="82"/>
    <row r="273" ht="14.25" customHeight="1" s="82"/>
    <row r="274" ht="14.25" customHeight="1" s="82"/>
    <row r="275" ht="14.25" customHeight="1" s="82"/>
    <row r="276" ht="14.25" customHeight="1" s="82"/>
    <row r="277" ht="14.25" customHeight="1" s="82"/>
    <row r="278" ht="14.25" customHeight="1" s="82"/>
    <row r="279" ht="14.25" customHeight="1" s="82"/>
    <row r="280" ht="14.25" customHeight="1" s="82"/>
    <row r="281" ht="14.25" customHeight="1" s="82"/>
    <row r="282" ht="14.25" customHeight="1" s="82"/>
    <row r="283" ht="14.25" customHeight="1" s="82"/>
    <row r="284" ht="14.25" customHeight="1" s="82"/>
    <row r="285" ht="14.25" customHeight="1" s="82"/>
    <row r="286" ht="14.25" customHeight="1" s="82"/>
    <row r="287" ht="14.25" customHeight="1" s="82"/>
    <row r="288" ht="14.25" customHeight="1" s="82"/>
    <row r="289" ht="14.25" customHeight="1" s="82"/>
    <row r="290" ht="14.25" customHeight="1" s="82"/>
    <row r="291" ht="14.25" customHeight="1" s="82"/>
    <row r="292" ht="14.25" customHeight="1" s="82"/>
    <row r="293" ht="14.25" customHeight="1" s="82"/>
    <row r="294" ht="14.25" customHeight="1" s="82"/>
    <row r="295" ht="14.25" customHeight="1" s="82"/>
    <row r="296" ht="14.25" customHeight="1" s="82"/>
    <row r="297" ht="14.25" customHeight="1" s="82"/>
    <row r="298" ht="14.25" customHeight="1" s="82"/>
    <row r="299" ht="14.25" customHeight="1" s="82"/>
    <row r="300" ht="14.25" customHeight="1" s="82"/>
    <row r="301" ht="14.25" customHeight="1" s="82"/>
    <row r="302" ht="14.25" customHeight="1" s="82"/>
    <row r="303" ht="14.25" customHeight="1" s="82"/>
    <row r="304" ht="14.25" customHeight="1" s="82"/>
    <row r="305" ht="14.25" customHeight="1" s="82"/>
    <row r="306" ht="14.25" customHeight="1" s="82"/>
    <row r="307" ht="14.25" customHeight="1" s="82"/>
    <row r="308" ht="14.25" customHeight="1" s="82"/>
    <row r="309" ht="14.25" customHeight="1" s="82"/>
    <row r="310" ht="14.25" customHeight="1" s="82"/>
    <row r="311" ht="14.25" customHeight="1" s="82"/>
    <row r="312" ht="14.25" customHeight="1" s="82"/>
    <row r="313" ht="14.25" customHeight="1" s="82"/>
    <row r="314" ht="14.25" customHeight="1" s="82"/>
    <row r="315" ht="14.25" customHeight="1" s="82"/>
    <row r="316" ht="14.25" customHeight="1" s="82"/>
    <row r="317" ht="14.25" customHeight="1" s="82"/>
    <row r="318" ht="14.25" customHeight="1" s="82"/>
    <row r="319" ht="14.25" customHeight="1" s="82"/>
    <row r="320" ht="14.25" customHeight="1" s="82"/>
    <row r="321" ht="14.25" customHeight="1" s="82"/>
    <row r="322" ht="14.25" customHeight="1" s="82"/>
    <row r="323" ht="14.25" customHeight="1" s="82"/>
    <row r="324" ht="14.25" customHeight="1" s="82"/>
    <row r="325" ht="14.25" customHeight="1" s="82"/>
    <row r="326" ht="14.25" customHeight="1" s="82"/>
    <row r="327" ht="14.25" customHeight="1" s="82"/>
    <row r="328" ht="14.25" customHeight="1" s="82"/>
    <row r="329" ht="14.25" customHeight="1" s="82"/>
    <row r="330" ht="14.25" customHeight="1" s="82"/>
    <row r="331" ht="14.25" customHeight="1" s="82"/>
    <row r="332" ht="14.25" customHeight="1" s="82"/>
    <row r="333" ht="14.25" customHeight="1" s="82"/>
    <row r="334" ht="14.25" customHeight="1" s="82"/>
    <row r="335" ht="14.25" customHeight="1" s="82"/>
    <row r="336" ht="14.25" customHeight="1" s="82"/>
    <row r="337" ht="14.25" customHeight="1" s="82"/>
    <row r="338" ht="14.25" customHeight="1" s="82"/>
    <row r="339" ht="14.25" customHeight="1" s="82"/>
    <row r="340" ht="14.25" customHeight="1" s="82"/>
    <row r="341" ht="14.25" customHeight="1" s="82"/>
    <row r="342" ht="14.25" customHeight="1" s="82"/>
    <row r="343" ht="14.25" customHeight="1" s="82"/>
    <row r="344" ht="14.25" customHeight="1" s="82"/>
    <row r="345" ht="14.25" customHeight="1" s="82"/>
    <row r="346" ht="14.25" customHeight="1" s="82"/>
    <row r="347" ht="14.25" customHeight="1" s="82"/>
    <row r="348" ht="14.25" customHeight="1" s="82"/>
    <row r="349" ht="14.25" customHeight="1" s="82"/>
    <row r="350" ht="14.25" customHeight="1" s="82"/>
    <row r="351" ht="14.25" customHeight="1" s="82"/>
    <row r="352" ht="14.25" customHeight="1" s="82"/>
    <row r="353" ht="14.25" customHeight="1" s="82"/>
    <row r="354" ht="14.25" customHeight="1" s="82"/>
    <row r="355" ht="14.25" customHeight="1" s="82"/>
    <row r="356" ht="14.25" customHeight="1" s="82"/>
    <row r="357" ht="14.25" customHeight="1" s="82"/>
    <row r="358" ht="14.25" customHeight="1" s="82"/>
    <row r="359" ht="14.25" customHeight="1" s="82"/>
    <row r="360" ht="14.25" customHeight="1" s="82"/>
    <row r="361" ht="14.25" customHeight="1" s="82"/>
    <row r="362" ht="14.25" customHeight="1" s="82"/>
    <row r="363" ht="14.25" customHeight="1" s="82"/>
    <row r="364" ht="14.25" customHeight="1" s="82"/>
    <row r="365" ht="14.25" customHeight="1" s="82"/>
    <row r="366" ht="14.25" customHeight="1" s="82"/>
    <row r="367" ht="14.25" customHeight="1" s="82"/>
    <row r="368" ht="14.25" customHeight="1" s="82"/>
    <row r="369" ht="14.25" customHeight="1" s="82"/>
    <row r="370" ht="14.25" customHeight="1" s="82"/>
    <row r="371" ht="14.25" customHeight="1" s="82"/>
    <row r="372" ht="14.25" customHeight="1" s="82"/>
    <row r="373" ht="14.25" customHeight="1" s="82"/>
    <row r="374" ht="14.25" customHeight="1" s="82"/>
    <row r="375" ht="14.25" customHeight="1" s="82"/>
    <row r="376" ht="14.25" customHeight="1" s="82"/>
    <row r="377" ht="14.25" customHeight="1" s="82"/>
    <row r="378" ht="14.25" customHeight="1" s="82"/>
    <row r="379" ht="14.25" customHeight="1" s="82"/>
    <row r="380" ht="14.25" customHeight="1" s="82"/>
    <row r="381" ht="14.25" customHeight="1" s="82"/>
    <row r="382" ht="14.25" customHeight="1" s="82"/>
    <row r="383" ht="14.25" customHeight="1" s="82"/>
    <row r="384" ht="14.25" customHeight="1" s="82"/>
    <row r="385" ht="14.25" customHeight="1" s="82"/>
    <row r="386" ht="14.25" customHeight="1" s="82"/>
    <row r="387" ht="14.25" customHeight="1" s="82"/>
    <row r="388" ht="14.25" customHeight="1" s="82"/>
    <row r="389" ht="14.25" customHeight="1" s="82"/>
    <row r="390" ht="14.25" customHeight="1" s="82"/>
    <row r="391" ht="14.25" customHeight="1" s="82"/>
    <row r="392" ht="14.25" customHeight="1" s="82"/>
    <row r="393" ht="14.25" customHeight="1" s="82"/>
    <row r="394" ht="14.25" customHeight="1" s="82"/>
    <row r="395" ht="14.25" customHeight="1" s="82"/>
    <row r="396" ht="14.25" customHeight="1" s="82"/>
    <row r="397" ht="14.25" customHeight="1" s="82"/>
    <row r="398" ht="14.25" customHeight="1" s="82"/>
    <row r="399" ht="14.25" customHeight="1" s="82"/>
    <row r="400" ht="14.25" customHeight="1" s="82"/>
    <row r="401" ht="14.25" customHeight="1" s="82"/>
    <row r="402" ht="14.25" customHeight="1" s="82"/>
    <row r="403" ht="14.25" customHeight="1" s="82"/>
    <row r="404" ht="14.25" customHeight="1" s="82"/>
    <row r="405" ht="14.25" customHeight="1" s="82"/>
    <row r="406" ht="14.25" customHeight="1" s="82"/>
    <row r="407" ht="14.25" customHeight="1" s="82"/>
    <row r="408" ht="14.25" customHeight="1" s="82"/>
    <row r="409" ht="14.25" customHeight="1" s="82"/>
    <row r="410" ht="14.25" customHeight="1" s="82"/>
    <row r="411" ht="14.25" customHeight="1" s="82"/>
    <row r="412" ht="14.25" customHeight="1" s="82"/>
    <row r="413" ht="14.25" customHeight="1" s="82"/>
    <row r="414" ht="14.25" customHeight="1" s="82"/>
    <row r="415" ht="14.25" customHeight="1" s="82"/>
    <row r="416" ht="14.25" customHeight="1" s="82"/>
    <row r="417" ht="14.25" customHeight="1" s="82"/>
    <row r="418" ht="14.25" customHeight="1" s="82"/>
    <row r="419" ht="14.25" customHeight="1" s="82"/>
    <row r="420" ht="14.25" customHeight="1" s="82"/>
    <row r="421" ht="14.25" customHeight="1" s="82"/>
    <row r="422" ht="14.25" customHeight="1" s="82"/>
    <row r="423" ht="14.25" customHeight="1" s="82"/>
    <row r="424" ht="14.25" customHeight="1" s="82"/>
    <row r="425" ht="14.25" customHeight="1" s="82"/>
    <row r="426" ht="14.25" customHeight="1" s="82"/>
    <row r="427" ht="14.25" customHeight="1" s="82"/>
    <row r="428" ht="14.25" customHeight="1" s="82"/>
    <row r="429" ht="14.25" customHeight="1" s="82"/>
    <row r="430" ht="14.25" customHeight="1" s="82"/>
    <row r="431" ht="14.25" customHeight="1" s="82"/>
    <row r="432" ht="14.25" customHeight="1" s="82"/>
    <row r="433" ht="14.25" customHeight="1" s="82"/>
    <row r="434" ht="14.25" customHeight="1" s="82"/>
    <row r="435" ht="14.25" customHeight="1" s="82"/>
    <row r="436" ht="14.25" customHeight="1" s="82"/>
    <row r="437" ht="14.25" customHeight="1" s="82"/>
    <row r="438" ht="14.25" customHeight="1" s="82"/>
    <row r="439" ht="14.25" customHeight="1" s="82"/>
    <row r="440" ht="14.25" customHeight="1" s="82"/>
    <row r="441" ht="14.25" customHeight="1" s="82"/>
    <row r="442" ht="14.25" customHeight="1" s="82"/>
    <row r="443" ht="14.25" customHeight="1" s="82"/>
    <row r="444" ht="14.25" customHeight="1" s="82"/>
    <row r="445" ht="14.25" customHeight="1" s="82"/>
    <row r="446" ht="14.25" customHeight="1" s="82"/>
    <row r="447" ht="14.25" customHeight="1" s="82"/>
    <row r="448" ht="14.25" customHeight="1" s="82"/>
    <row r="449" ht="14.25" customHeight="1" s="82"/>
    <row r="450" ht="14.25" customHeight="1" s="82"/>
    <row r="451" ht="14.25" customHeight="1" s="82"/>
    <row r="452" ht="14.25" customHeight="1" s="82"/>
    <row r="453" ht="14.25" customHeight="1" s="82"/>
    <row r="454" ht="14.25" customHeight="1" s="82"/>
    <row r="455" ht="14.25" customHeight="1" s="82"/>
    <row r="456" ht="14.25" customHeight="1" s="82"/>
    <row r="457" ht="14.25" customHeight="1" s="82"/>
    <row r="458" ht="14.25" customHeight="1" s="82"/>
    <row r="459" ht="14.25" customHeight="1" s="82"/>
    <row r="460" ht="14.25" customHeight="1" s="82"/>
    <row r="461" ht="14.25" customHeight="1" s="82"/>
    <row r="462" ht="14.25" customHeight="1" s="82"/>
    <row r="463" ht="14.25" customHeight="1" s="82"/>
    <row r="464" ht="14.25" customHeight="1" s="82"/>
    <row r="465" ht="14.25" customHeight="1" s="82"/>
    <row r="466" ht="14.25" customHeight="1" s="82"/>
    <row r="467" ht="14.25" customHeight="1" s="82"/>
    <row r="468" ht="14.25" customHeight="1" s="82"/>
    <row r="469" ht="14.25" customHeight="1" s="82"/>
    <row r="470" ht="14.25" customHeight="1" s="82"/>
    <row r="471" ht="14.25" customHeight="1" s="82"/>
    <row r="472" ht="14.25" customHeight="1" s="82"/>
    <row r="473" ht="14.25" customHeight="1" s="82"/>
    <row r="474" ht="14.25" customHeight="1" s="82"/>
    <row r="475" ht="14.25" customHeight="1" s="82"/>
    <row r="476" ht="14.25" customHeight="1" s="82"/>
    <row r="477" ht="14.25" customHeight="1" s="82"/>
    <row r="478" ht="14.25" customHeight="1" s="82"/>
    <row r="479" ht="14.25" customHeight="1" s="82"/>
    <row r="480" ht="14.25" customHeight="1" s="82"/>
    <row r="481" ht="14.25" customHeight="1" s="82"/>
    <row r="482" ht="14.25" customHeight="1" s="82"/>
    <row r="483" ht="14.25" customHeight="1" s="82"/>
    <row r="484" ht="14.25" customHeight="1" s="82"/>
    <row r="485" ht="14.25" customHeight="1" s="82"/>
    <row r="486" ht="14.25" customHeight="1" s="82"/>
    <row r="487" ht="14.25" customHeight="1" s="82"/>
    <row r="488" ht="14.25" customHeight="1" s="82"/>
    <row r="489" ht="14.25" customHeight="1" s="82"/>
    <row r="490" ht="14.25" customHeight="1" s="82"/>
    <row r="491" ht="14.25" customHeight="1" s="82"/>
    <row r="492" ht="14.25" customHeight="1" s="82"/>
    <row r="493" ht="14.25" customHeight="1" s="82"/>
    <row r="494" ht="14.25" customHeight="1" s="82"/>
    <row r="495" ht="14.25" customHeight="1" s="82"/>
    <row r="496" ht="14.25" customHeight="1" s="82"/>
    <row r="497" ht="14.25" customHeight="1" s="82"/>
    <row r="498" ht="14.25" customHeight="1" s="82"/>
    <row r="499" ht="14.25" customHeight="1" s="82"/>
    <row r="500" ht="14.25" customHeight="1" s="82"/>
    <row r="501" ht="14.25" customHeight="1" s="82"/>
    <row r="502" ht="14.25" customHeight="1" s="82"/>
    <row r="503" ht="14.25" customHeight="1" s="82"/>
    <row r="504" ht="14.25" customHeight="1" s="82"/>
    <row r="505" ht="14.25" customHeight="1" s="82"/>
    <row r="506" ht="14.25" customHeight="1" s="82"/>
    <row r="507" ht="14.25" customHeight="1" s="82"/>
    <row r="508" ht="14.25" customHeight="1" s="82"/>
    <row r="509" ht="14.25" customHeight="1" s="82"/>
    <row r="510" ht="14.25" customHeight="1" s="82"/>
    <row r="511" ht="14.25" customHeight="1" s="82"/>
    <row r="512" ht="14.25" customHeight="1" s="82"/>
    <row r="513" ht="14.25" customHeight="1" s="82"/>
    <row r="514" ht="14.25" customHeight="1" s="82"/>
    <row r="515" ht="14.25" customHeight="1" s="82"/>
    <row r="516" ht="14.25" customHeight="1" s="82"/>
    <row r="517" ht="14.25" customHeight="1" s="82"/>
    <row r="518" ht="14.25" customHeight="1" s="82"/>
    <row r="519" ht="14.25" customHeight="1" s="82"/>
    <row r="520" ht="14.25" customHeight="1" s="82"/>
    <row r="521" ht="14.25" customHeight="1" s="82"/>
    <row r="522" ht="14.25" customHeight="1" s="82"/>
    <row r="523" ht="14.25" customHeight="1" s="82"/>
    <row r="524" ht="14.25" customHeight="1" s="82"/>
    <row r="525" ht="14.25" customHeight="1" s="82"/>
    <row r="526" ht="14.25" customHeight="1" s="82"/>
    <row r="527" ht="14.25" customHeight="1" s="82"/>
    <row r="528" ht="14.25" customHeight="1" s="82"/>
    <row r="529" ht="14.25" customHeight="1" s="82"/>
    <row r="530" ht="14.25" customHeight="1" s="82"/>
    <row r="531" ht="14.25" customHeight="1" s="82"/>
    <row r="532" ht="14.25" customHeight="1" s="82"/>
    <row r="533" ht="14.25" customHeight="1" s="82"/>
    <row r="534" ht="14.25" customHeight="1" s="82"/>
    <row r="535" ht="14.25" customHeight="1" s="82"/>
    <row r="536" ht="14.25" customHeight="1" s="82"/>
    <row r="537" ht="14.25" customHeight="1" s="82"/>
    <row r="538" ht="14.25" customHeight="1" s="82"/>
    <row r="539" ht="14.25" customHeight="1" s="82"/>
    <row r="540" ht="14.25" customHeight="1" s="82"/>
    <row r="541" ht="14.25" customHeight="1" s="82"/>
    <row r="542" ht="14.25" customHeight="1" s="82"/>
    <row r="543" ht="14.25" customHeight="1" s="82"/>
    <row r="544" ht="14.25" customHeight="1" s="82"/>
    <row r="545" ht="14.25" customHeight="1" s="82"/>
    <row r="546" ht="14.25" customHeight="1" s="82"/>
    <row r="547" ht="14.25" customHeight="1" s="82"/>
    <row r="548" ht="14.25" customHeight="1" s="82"/>
    <row r="549" ht="14.25" customHeight="1" s="82"/>
    <row r="550" ht="14.25" customHeight="1" s="82"/>
    <row r="551" ht="14.25" customHeight="1" s="82"/>
    <row r="552" ht="14.25" customHeight="1" s="82"/>
    <row r="553" ht="14.25" customHeight="1" s="82"/>
    <row r="554" ht="14.25" customHeight="1" s="82"/>
    <row r="555" ht="14.25" customHeight="1" s="82"/>
    <row r="556" ht="14.25" customHeight="1" s="82"/>
    <row r="557" ht="14.25" customHeight="1" s="82"/>
    <row r="558" ht="14.25" customHeight="1" s="82"/>
    <row r="559" ht="14.25" customHeight="1" s="82"/>
    <row r="560" ht="14.25" customHeight="1" s="82"/>
    <row r="561" ht="14.25" customHeight="1" s="82"/>
    <row r="562" ht="14.25" customHeight="1" s="82"/>
    <row r="563" ht="14.25" customHeight="1" s="82"/>
    <row r="564" ht="14.25" customHeight="1" s="82"/>
    <row r="565" ht="14.25" customHeight="1" s="82"/>
    <row r="566" ht="14.25" customHeight="1" s="82"/>
    <row r="567" ht="14.25" customHeight="1" s="82"/>
    <row r="568" ht="14.25" customHeight="1" s="82"/>
    <row r="569" ht="14.25" customHeight="1" s="82"/>
    <row r="570" ht="14.25" customHeight="1" s="82"/>
    <row r="571" ht="14.25" customHeight="1" s="82"/>
    <row r="572" ht="14.25" customHeight="1" s="82"/>
    <row r="573" ht="14.25" customHeight="1" s="82"/>
    <row r="574" ht="14.25" customHeight="1" s="82"/>
    <row r="575" ht="14.25" customHeight="1" s="82"/>
    <row r="576" ht="14.25" customHeight="1" s="82"/>
    <row r="577" ht="14.25" customHeight="1" s="82"/>
    <row r="578" ht="14.25" customHeight="1" s="82"/>
    <row r="579" ht="14.25" customHeight="1" s="82"/>
    <row r="580" ht="14.25" customHeight="1" s="82"/>
    <row r="581" ht="14.25" customHeight="1" s="82"/>
    <row r="582" ht="14.25" customHeight="1" s="82"/>
    <row r="583" ht="14.25" customHeight="1" s="82"/>
    <row r="584" ht="14.25" customHeight="1" s="82"/>
    <row r="585" ht="14.25" customHeight="1" s="82"/>
    <row r="586" ht="14.25" customHeight="1" s="82"/>
    <row r="587" ht="14.25" customHeight="1" s="82"/>
    <row r="588" ht="14.25" customHeight="1" s="82"/>
    <row r="589" ht="14.25" customHeight="1" s="82"/>
    <row r="590" ht="14.25" customHeight="1" s="82"/>
    <row r="591" ht="14.25" customHeight="1" s="82"/>
    <row r="592" ht="14.25" customHeight="1" s="82"/>
    <row r="593" ht="14.25" customHeight="1" s="82"/>
    <row r="594" ht="14.25" customHeight="1" s="82"/>
    <row r="595" ht="14.25" customHeight="1" s="82"/>
    <row r="596" ht="14.25" customHeight="1" s="82"/>
    <row r="597" ht="14.25" customHeight="1" s="82"/>
    <row r="598" ht="14.25" customHeight="1" s="82"/>
    <row r="599" ht="14.25" customHeight="1" s="82"/>
    <row r="600" ht="14.25" customHeight="1" s="82"/>
    <row r="601" ht="14.25" customHeight="1" s="82"/>
    <row r="602" ht="14.25" customHeight="1" s="82"/>
    <row r="603" ht="14.25" customHeight="1" s="82"/>
    <row r="604" ht="14.25" customHeight="1" s="82"/>
    <row r="605" ht="14.25" customHeight="1" s="82"/>
    <row r="606" ht="14.25" customHeight="1" s="82"/>
    <row r="607" ht="14.25" customHeight="1" s="82"/>
    <row r="608" ht="14.25" customHeight="1" s="82"/>
    <row r="609" ht="14.25" customHeight="1" s="82"/>
    <row r="610" ht="14.25" customHeight="1" s="82"/>
    <row r="611" ht="14.25" customHeight="1" s="82"/>
    <row r="612" ht="14.25" customHeight="1" s="82"/>
    <row r="613" ht="14.25" customHeight="1" s="82"/>
    <row r="614" ht="14.25" customHeight="1" s="82"/>
    <row r="615" ht="14.25" customHeight="1" s="82"/>
    <row r="616" ht="14.25" customHeight="1" s="82"/>
    <row r="617" ht="14.25" customHeight="1" s="82"/>
    <row r="618" ht="14.25" customHeight="1" s="82"/>
    <row r="619" ht="14.25" customHeight="1" s="82"/>
    <row r="620" ht="14.25" customHeight="1" s="82"/>
    <row r="621" ht="14.25" customHeight="1" s="82"/>
    <row r="622" ht="14.25" customHeight="1" s="82"/>
    <row r="623" ht="14.25" customHeight="1" s="82"/>
    <row r="624" ht="14.25" customHeight="1" s="82"/>
    <row r="625" ht="14.25" customHeight="1" s="82"/>
    <row r="626" ht="14.25" customHeight="1" s="82"/>
    <row r="627" ht="14.25" customHeight="1" s="82"/>
    <row r="628" ht="14.25" customHeight="1" s="82"/>
    <row r="629" ht="14.25" customHeight="1" s="82"/>
    <row r="630" ht="14.25" customHeight="1" s="82"/>
    <row r="631" ht="14.25" customHeight="1" s="82"/>
    <row r="632" ht="14.25" customHeight="1" s="82"/>
    <row r="633" ht="14.25" customHeight="1" s="82"/>
    <row r="634" ht="14.25" customHeight="1" s="82"/>
    <row r="635" ht="14.25" customHeight="1" s="82"/>
    <row r="636" ht="14.25" customHeight="1" s="82"/>
    <row r="637" ht="14.25" customHeight="1" s="82"/>
    <row r="638" ht="14.25" customHeight="1" s="82"/>
    <row r="639" ht="14.25" customHeight="1" s="82"/>
    <row r="640" ht="14.25" customHeight="1" s="82"/>
    <row r="641" ht="14.25" customHeight="1" s="82"/>
    <row r="642" ht="14.25" customHeight="1" s="82"/>
    <row r="643" ht="14.25" customHeight="1" s="82"/>
    <row r="644" ht="14.25" customHeight="1" s="82"/>
    <row r="645" ht="14.25" customHeight="1" s="82"/>
    <row r="646" ht="14.25" customHeight="1" s="82"/>
    <row r="647" ht="14.25" customHeight="1" s="82"/>
    <row r="648" ht="14.25" customHeight="1" s="82"/>
    <row r="649" ht="14.25" customHeight="1" s="82"/>
    <row r="650" ht="14.25" customHeight="1" s="82"/>
    <row r="651" ht="14.25" customHeight="1" s="82"/>
    <row r="652" ht="14.25" customHeight="1" s="82"/>
    <row r="653" ht="14.25" customHeight="1" s="82"/>
    <row r="654" ht="14.25" customHeight="1" s="82"/>
    <row r="655" ht="14.25" customHeight="1" s="82"/>
    <row r="656" ht="14.25" customHeight="1" s="82"/>
    <row r="657" ht="14.25" customHeight="1" s="82"/>
    <row r="658" ht="14.25" customHeight="1" s="82"/>
    <row r="659" ht="14.25" customHeight="1" s="82"/>
    <row r="660" ht="14.25" customHeight="1" s="82"/>
    <row r="661" ht="14.25" customHeight="1" s="82"/>
    <row r="662" ht="14.25" customHeight="1" s="82"/>
    <row r="663" ht="14.25" customHeight="1" s="82"/>
    <row r="664" ht="14.25" customHeight="1" s="82"/>
    <row r="665" ht="14.25" customHeight="1" s="82"/>
    <row r="666" ht="14.25" customHeight="1" s="82"/>
    <row r="667" ht="14.25" customHeight="1" s="82"/>
    <row r="668" ht="14.25" customHeight="1" s="82"/>
    <row r="669" ht="14.25" customHeight="1" s="82"/>
    <row r="670" ht="14.25" customHeight="1" s="82"/>
    <row r="671" ht="14.25" customHeight="1" s="82"/>
    <row r="672" ht="14.25" customHeight="1" s="82"/>
    <row r="673" ht="14.25" customHeight="1" s="82"/>
    <row r="674" ht="14.25" customHeight="1" s="82"/>
    <row r="675" ht="14.25" customHeight="1" s="82"/>
    <row r="676" ht="14.25" customHeight="1" s="82"/>
    <row r="677" ht="14.25" customHeight="1" s="82"/>
    <row r="678" ht="14.25" customHeight="1" s="82"/>
    <row r="679" ht="14.25" customHeight="1" s="82"/>
    <row r="680" ht="14.25" customHeight="1" s="82"/>
    <row r="681" ht="14.25" customHeight="1" s="82"/>
    <row r="682" ht="14.25" customHeight="1" s="82"/>
    <row r="683" ht="14.25" customHeight="1" s="82"/>
    <row r="684" ht="14.25" customHeight="1" s="82"/>
    <row r="685" ht="14.25" customHeight="1" s="82"/>
    <row r="686" ht="14.25" customHeight="1" s="82"/>
    <row r="687" ht="14.25" customHeight="1" s="82"/>
    <row r="688" ht="14.25" customHeight="1" s="82"/>
    <row r="689" ht="14.25" customHeight="1" s="82"/>
    <row r="690" ht="14.25" customHeight="1" s="82"/>
    <row r="691" ht="14.25" customHeight="1" s="82"/>
    <row r="692" ht="14.25" customHeight="1" s="82"/>
    <row r="693" ht="14.25" customHeight="1" s="82"/>
    <row r="694" ht="14.25" customHeight="1" s="82"/>
    <row r="695" ht="14.25" customHeight="1" s="82"/>
    <row r="696" ht="14.25" customHeight="1" s="82"/>
    <row r="697" ht="14.25" customHeight="1" s="82"/>
    <row r="698" ht="14.25" customHeight="1" s="82"/>
    <row r="699" ht="14.25" customHeight="1" s="82"/>
    <row r="700" ht="14.25" customHeight="1" s="82"/>
    <row r="701" ht="14.25" customHeight="1" s="82"/>
    <row r="702" ht="14.25" customHeight="1" s="82"/>
    <row r="703" ht="14.25" customHeight="1" s="82"/>
    <row r="704" ht="14.25" customHeight="1" s="82"/>
    <row r="705" ht="14.25" customHeight="1" s="82"/>
    <row r="706" ht="14.25" customHeight="1" s="82"/>
    <row r="707" ht="14.25" customHeight="1" s="82"/>
    <row r="708" ht="14.25" customHeight="1" s="82"/>
    <row r="709" ht="14.25" customHeight="1" s="82"/>
    <row r="710" ht="14.25" customHeight="1" s="82"/>
    <row r="711" ht="14.25" customHeight="1" s="82"/>
    <row r="712" ht="14.25" customHeight="1" s="82"/>
    <row r="713" ht="14.25" customHeight="1" s="82"/>
    <row r="714" ht="14.25" customHeight="1" s="82"/>
    <row r="715" ht="14.25" customHeight="1" s="82"/>
    <row r="716" ht="14.25" customHeight="1" s="82"/>
    <row r="717" ht="14.25" customHeight="1" s="82"/>
    <row r="718" ht="14.25" customHeight="1" s="82"/>
    <row r="719" ht="14.25" customHeight="1" s="82"/>
    <row r="720" ht="14.25" customHeight="1" s="82"/>
    <row r="721" ht="14.25" customHeight="1" s="82"/>
    <row r="722" ht="14.25" customHeight="1" s="82"/>
    <row r="723" ht="14.25" customHeight="1" s="82"/>
    <row r="724" ht="14.25" customHeight="1" s="82"/>
    <row r="725" ht="14.25" customHeight="1" s="82"/>
    <row r="726" ht="14.25" customHeight="1" s="82"/>
    <row r="727" ht="14.25" customHeight="1" s="82"/>
    <row r="728" ht="14.25" customHeight="1" s="82"/>
    <row r="729" ht="14.25" customHeight="1" s="82"/>
    <row r="730" ht="14.25" customHeight="1" s="82"/>
    <row r="731" ht="14.25" customHeight="1" s="82"/>
    <row r="732" ht="14.25" customHeight="1" s="82"/>
    <row r="733" ht="14.25" customHeight="1" s="82"/>
    <row r="734" ht="14.25" customHeight="1" s="82"/>
    <row r="735" ht="14.25" customHeight="1" s="82"/>
    <row r="736" ht="14.25" customHeight="1" s="82"/>
    <row r="737" ht="14.25" customHeight="1" s="82"/>
    <row r="738" ht="14.25" customHeight="1" s="82"/>
    <row r="739" ht="14.25" customHeight="1" s="82"/>
    <row r="740" ht="14.25" customHeight="1" s="82"/>
    <row r="741" ht="14.25" customHeight="1" s="82"/>
    <row r="742" ht="14.25" customHeight="1" s="82"/>
    <row r="743" ht="14.25" customHeight="1" s="82"/>
    <row r="744" ht="14.25" customHeight="1" s="82"/>
    <row r="745" ht="14.25" customHeight="1" s="82"/>
    <row r="746" ht="14.25" customHeight="1" s="82"/>
    <row r="747" ht="14.25" customHeight="1" s="82"/>
    <row r="748" ht="14.25" customHeight="1" s="82"/>
    <row r="749" ht="14.25" customHeight="1" s="82"/>
    <row r="750" ht="14.25" customHeight="1" s="82"/>
    <row r="751" ht="14.25" customHeight="1" s="82"/>
    <row r="752" ht="14.25" customHeight="1" s="82"/>
    <row r="753" ht="14.25" customHeight="1" s="82"/>
    <row r="754" ht="14.25" customHeight="1" s="82"/>
    <row r="755" ht="14.25" customHeight="1" s="82"/>
    <row r="756" ht="14.25" customHeight="1" s="82"/>
    <row r="757" ht="14.25" customHeight="1" s="82"/>
    <row r="758" ht="14.25" customHeight="1" s="82"/>
    <row r="759" ht="14.25" customHeight="1" s="82"/>
    <row r="760" ht="14.25" customHeight="1" s="82"/>
    <row r="761" ht="14.25" customHeight="1" s="82"/>
    <row r="762" ht="14.25" customHeight="1" s="82"/>
    <row r="763" ht="14.25" customHeight="1" s="82"/>
    <row r="764" ht="14.25" customHeight="1" s="82"/>
    <row r="765" ht="14.25" customHeight="1" s="82"/>
    <row r="766" ht="14.25" customHeight="1" s="82"/>
    <row r="767" ht="14.25" customHeight="1" s="82"/>
    <row r="768" ht="14.25" customHeight="1" s="82"/>
    <row r="769" ht="14.25" customHeight="1" s="82"/>
    <row r="770" ht="14.25" customHeight="1" s="82"/>
    <row r="771" ht="14.25" customHeight="1" s="82"/>
    <row r="772" ht="14.25" customHeight="1" s="82"/>
    <row r="773" ht="14.25" customHeight="1" s="82"/>
    <row r="774" ht="14.25" customHeight="1" s="82"/>
    <row r="775" ht="14.25" customHeight="1" s="82"/>
    <row r="776" ht="14.25" customHeight="1" s="82"/>
    <row r="777" ht="14.25" customHeight="1" s="82"/>
    <row r="778" ht="14.25" customHeight="1" s="82"/>
    <row r="779" ht="14.25" customHeight="1" s="82"/>
    <row r="780" ht="14.25" customHeight="1" s="82"/>
    <row r="781" ht="14.25" customHeight="1" s="82"/>
    <row r="782" ht="14.25" customHeight="1" s="82"/>
    <row r="783" ht="14.25" customHeight="1" s="82"/>
    <row r="784" ht="14.25" customHeight="1" s="82"/>
    <row r="785" ht="14.25" customHeight="1" s="82"/>
    <row r="786" ht="14.25" customHeight="1" s="82"/>
    <row r="787" ht="14.25" customHeight="1" s="82"/>
    <row r="788" ht="14.25" customHeight="1" s="82"/>
    <row r="789" ht="14.25" customHeight="1" s="82"/>
    <row r="790" ht="14.25" customHeight="1" s="82"/>
    <row r="791" ht="14.25" customHeight="1" s="82"/>
    <row r="792" ht="14.25" customHeight="1" s="82"/>
    <row r="793" ht="14.25" customHeight="1" s="82"/>
    <row r="794" ht="14.25" customHeight="1" s="82"/>
    <row r="795" ht="14.25" customHeight="1" s="82"/>
    <row r="796" ht="14.25" customHeight="1" s="82"/>
    <row r="797" ht="14.25" customHeight="1" s="82"/>
    <row r="798" ht="14.25" customHeight="1" s="82"/>
    <row r="799" ht="14.25" customHeight="1" s="82"/>
    <row r="800" ht="14.25" customHeight="1" s="82"/>
    <row r="801" ht="14.25" customHeight="1" s="82"/>
    <row r="802" ht="14.25" customHeight="1" s="82"/>
    <row r="803" ht="14.25" customHeight="1" s="82"/>
    <row r="804" ht="14.25" customHeight="1" s="82"/>
    <row r="805" ht="14.25" customHeight="1" s="82"/>
    <row r="806" ht="14.25" customHeight="1" s="82"/>
    <row r="807" ht="14.25" customHeight="1" s="82"/>
    <row r="808" ht="14.25" customHeight="1" s="82"/>
    <row r="809" ht="14.25" customHeight="1" s="82"/>
    <row r="810" ht="14.25" customHeight="1" s="82"/>
    <row r="811" ht="14.25" customHeight="1" s="82"/>
    <row r="812" ht="14.25" customHeight="1" s="82"/>
    <row r="813" ht="14.25" customHeight="1" s="82"/>
    <row r="814" ht="14.25" customHeight="1" s="82"/>
    <row r="815" ht="14.25" customHeight="1" s="82"/>
    <row r="816" ht="14.25" customHeight="1" s="82"/>
    <row r="817" ht="14.25" customHeight="1" s="82"/>
    <row r="818" ht="14.25" customHeight="1" s="82"/>
    <row r="819" ht="14.25" customHeight="1" s="82"/>
    <row r="820" ht="14.25" customHeight="1" s="82"/>
    <row r="821" ht="14.25" customHeight="1" s="82"/>
    <row r="822" ht="14.25" customHeight="1" s="82"/>
    <row r="823" ht="14.25" customHeight="1" s="82"/>
    <row r="824" ht="14.25" customHeight="1" s="82"/>
    <row r="825" ht="14.25" customHeight="1" s="82"/>
    <row r="826" ht="14.25" customHeight="1" s="82"/>
    <row r="827" ht="14.25" customHeight="1" s="82"/>
    <row r="828" ht="14.25" customHeight="1" s="82"/>
    <row r="829" ht="14.25" customHeight="1" s="82"/>
    <row r="830" ht="14.25" customHeight="1" s="82"/>
    <row r="831" ht="14.25" customHeight="1" s="82"/>
    <row r="832" ht="14.25" customHeight="1" s="82"/>
    <row r="833" ht="14.25" customHeight="1" s="82"/>
    <row r="834" ht="14.25" customHeight="1" s="82"/>
    <row r="835" ht="14.25" customHeight="1" s="82"/>
    <row r="836" ht="14.25" customHeight="1" s="82"/>
    <row r="837" ht="14.25" customHeight="1" s="82"/>
    <row r="838" ht="14.25" customHeight="1" s="82"/>
    <row r="839" ht="14.25" customHeight="1" s="82"/>
    <row r="840" ht="14.25" customHeight="1" s="82"/>
    <row r="841" ht="14.25" customHeight="1" s="82"/>
    <row r="842" ht="14.25" customHeight="1" s="82"/>
    <row r="843" ht="14.25" customHeight="1" s="82"/>
    <row r="844" ht="14.25" customHeight="1" s="82"/>
    <row r="845" ht="14.25" customHeight="1" s="82"/>
    <row r="846" ht="14.25" customHeight="1" s="82"/>
    <row r="847" ht="14.25" customHeight="1" s="82"/>
    <row r="848" ht="14.25" customHeight="1" s="82"/>
    <row r="849" ht="14.25" customHeight="1" s="82"/>
    <row r="850" ht="14.25" customHeight="1" s="82"/>
    <row r="851" ht="14.25" customHeight="1" s="82"/>
    <row r="852" ht="14.25" customHeight="1" s="82"/>
    <row r="853" ht="14.25" customHeight="1" s="82"/>
    <row r="854" ht="14.25" customHeight="1" s="82"/>
    <row r="855" ht="14.25" customHeight="1" s="82"/>
    <row r="856" ht="14.25" customHeight="1" s="82"/>
    <row r="857" ht="14.25" customHeight="1" s="82"/>
    <row r="858" ht="14.25" customHeight="1" s="82"/>
    <row r="859" ht="14.25" customHeight="1" s="82"/>
    <row r="860" ht="14.25" customHeight="1" s="82"/>
    <row r="861" ht="14.25" customHeight="1" s="82"/>
    <row r="862" ht="14.25" customHeight="1" s="82"/>
    <row r="863" ht="14.25" customHeight="1" s="82"/>
    <row r="864" ht="14.25" customHeight="1" s="82"/>
    <row r="865" ht="14.25" customHeight="1" s="82"/>
    <row r="866" ht="14.25" customHeight="1" s="82"/>
    <row r="867" ht="14.25" customHeight="1" s="82"/>
    <row r="868" ht="14.25" customHeight="1" s="82"/>
    <row r="869" ht="14.25" customHeight="1" s="82"/>
    <row r="870" ht="14.25" customHeight="1" s="82"/>
    <row r="871" ht="14.25" customHeight="1" s="82"/>
    <row r="872" ht="14.25" customHeight="1" s="82"/>
    <row r="873" ht="14.25" customHeight="1" s="82"/>
    <row r="874" ht="14.25" customHeight="1" s="82"/>
    <row r="875" ht="14.25" customHeight="1" s="82"/>
    <row r="876" ht="14.25" customHeight="1" s="82"/>
    <row r="877" ht="14.25" customHeight="1" s="82"/>
    <row r="878" ht="14.25" customHeight="1" s="82"/>
    <row r="879" ht="14.25" customHeight="1" s="82"/>
    <row r="880" ht="14.25" customHeight="1" s="82"/>
    <row r="881" ht="14.25" customHeight="1" s="82"/>
    <row r="882" ht="14.25" customHeight="1" s="82"/>
    <row r="883" ht="14.25" customHeight="1" s="82"/>
    <row r="884" ht="14.25" customHeight="1" s="82"/>
    <row r="885" ht="14.25" customHeight="1" s="82"/>
    <row r="886" ht="14.25" customHeight="1" s="82"/>
    <row r="887" ht="14.25" customHeight="1" s="82"/>
    <row r="888" ht="14.25" customHeight="1" s="82"/>
    <row r="889" ht="14.25" customHeight="1" s="82"/>
    <row r="890" ht="14.25" customHeight="1" s="82"/>
    <row r="891" ht="14.25" customHeight="1" s="82"/>
    <row r="892" ht="14.25" customHeight="1" s="82"/>
    <row r="893" ht="14.25" customHeight="1" s="82"/>
    <row r="894" ht="14.25" customHeight="1" s="82"/>
    <row r="895" ht="14.25" customHeight="1" s="82"/>
    <row r="896" ht="14.25" customHeight="1" s="82"/>
    <row r="897" ht="14.25" customHeight="1" s="82"/>
    <row r="898" ht="14.25" customHeight="1" s="82"/>
    <row r="899" ht="14.25" customHeight="1" s="82"/>
    <row r="900" ht="14.25" customHeight="1" s="82"/>
    <row r="901" ht="14.25" customHeight="1" s="82"/>
    <row r="902" ht="14.25" customHeight="1" s="82"/>
    <row r="903" ht="14.25" customHeight="1" s="82"/>
    <row r="904" ht="14.25" customHeight="1" s="82"/>
    <row r="905" ht="14.25" customHeight="1" s="82"/>
    <row r="906" ht="14.25" customHeight="1" s="82"/>
    <row r="907" ht="14.25" customHeight="1" s="82"/>
    <row r="908" ht="14.25" customHeight="1" s="82"/>
    <row r="909" ht="14.25" customHeight="1" s="82"/>
    <row r="910" ht="14.25" customHeight="1" s="82"/>
    <row r="911" ht="14.25" customHeight="1" s="82"/>
    <row r="912" ht="14.25" customHeight="1" s="82"/>
    <row r="913" ht="14.25" customHeight="1" s="82"/>
    <row r="914" ht="14.25" customHeight="1" s="82"/>
    <row r="915" ht="14.25" customHeight="1" s="82"/>
    <row r="916" ht="14.25" customHeight="1" s="82"/>
    <row r="917" ht="14.25" customHeight="1" s="82"/>
    <row r="918" ht="14.25" customHeight="1" s="82"/>
    <row r="919" ht="14.25" customHeight="1" s="82"/>
    <row r="920" ht="14.25" customHeight="1" s="82"/>
    <row r="921" ht="14.25" customHeight="1" s="82"/>
    <row r="922" ht="14.25" customHeight="1" s="82"/>
    <row r="923" ht="14.25" customHeight="1" s="82"/>
    <row r="924" ht="14.25" customHeight="1" s="82"/>
    <row r="925" ht="14.25" customHeight="1" s="82"/>
    <row r="926" ht="14.25" customHeight="1" s="82"/>
    <row r="927" ht="14.25" customHeight="1" s="82"/>
    <row r="928" ht="14.25" customHeight="1" s="82"/>
    <row r="929" ht="14.25" customHeight="1" s="82"/>
    <row r="930" ht="14.25" customHeight="1" s="82"/>
    <row r="931" ht="14.25" customHeight="1" s="82"/>
    <row r="932" ht="14.25" customHeight="1" s="82"/>
    <row r="933" ht="14.25" customHeight="1" s="82"/>
    <row r="934" ht="14.25" customHeight="1" s="82"/>
    <row r="935" ht="14.25" customHeight="1" s="82"/>
    <row r="936" ht="14.25" customHeight="1" s="82"/>
    <row r="937" ht="14.25" customHeight="1" s="82"/>
    <row r="938" ht="14.25" customHeight="1" s="82"/>
    <row r="939" ht="14.25" customHeight="1" s="82"/>
    <row r="940" ht="14.25" customHeight="1" s="82"/>
    <row r="941" ht="14.25" customHeight="1" s="82"/>
    <row r="942" ht="14.25" customHeight="1" s="82"/>
    <row r="943" ht="14.25" customHeight="1" s="82"/>
    <row r="944" ht="14.25" customHeight="1" s="82"/>
    <row r="945" ht="14.25" customHeight="1" s="82"/>
    <row r="946" ht="14.25" customHeight="1" s="82"/>
    <row r="947" ht="14.25" customHeight="1" s="82"/>
    <row r="948" ht="14.25" customHeight="1" s="82"/>
    <row r="949" ht="14.25" customHeight="1" s="82"/>
    <row r="950" ht="14.25" customHeight="1" s="82"/>
    <row r="951" ht="14.25" customHeight="1" s="82"/>
    <row r="952" ht="14.25" customHeight="1" s="82"/>
    <row r="953" ht="14.25" customHeight="1" s="82"/>
    <row r="954" ht="14.25" customHeight="1" s="82"/>
    <row r="955" ht="14.25" customHeight="1" s="82"/>
    <row r="956" ht="14.25" customHeight="1" s="82"/>
    <row r="957" ht="14.25" customHeight="1" s="82"/>
    <row r="958" ht="14.25" customHeight="1" s="82"/>
    <row r="959" ht="14.25" customHeight="1" s="82"/>
    <row r="960" ht="14.25" customHeight="1" s="82"/>
    <row r="961" ht="14.25" customHeight="1" s="82"/>
    <row r="962" ht="14.25" customHeight="1" s="82"/>
    <row r="963" ht="14.25" customHeight="1" s="82"/>
    <row r="964" ht="14.25" customHeight="1" s="82"/>
    <row r="965" ht="14.25" customHeight="1" s="82"/>
    <row r="966" ht="14.25" customHeight="1" s="82"/>
    <row r="967" ht="14.25" customHeight="1" s="82"/>
    <row r="968" ht="14.25" customHeight="1" s="82"/>
    <row r="969" ht="14.25" customHeight="1" s="82"/>
    <row r="970" ht="14.25" customHeight="1" s="82"/>
    <row r="971" ht="14.25" customHeight="1" s="82"/>
    <row r="972" ht="14.25" customHeight="1" s="82"/>
    <row r="973" ht="14.25" customHeight="1" s="82"/>
    <row r="974" ht="14.25" customHeight="1" s="82"/>
    <row r="975" ht="14.25" customHeight="1" s="82"/>
    <row r="976" ht="14.25" customHeight="1" s="82"/>
    <row r="977" ht="14.25" customHeight="1" s="82"/>
    <row r="978" ht="14.25" customHeight="1" s="82"/>
    <row r="979" ht="14.25" customHeight="1" s="82"/>
    <row r="980" ht="14.25" customHeight="1" s="82"/>
    <row r="981" ht="14.25" customHeight="1" s="82"/>
    <row r="982" ht="14.25" customHeight="1" s="82"/>
    <row r="983" ht="14.25" customHeight="1" s="82"/>
    <row r="984" ht="14.25" customHeight="1" s="82"/>
    <row r="985" ht="14.25" customHeight="1" s="82"/>
    <row r="986" ht="14.25" customHeight="1" s="82"/>
    <row r="987" ht="14.25" customHeight="1" s="82"/>
    <row r="988" ht="14.25" customHeight="1" s="82"/>
    <row r="989" ht="14.25" customHeight="1" s="82"/>
    <row r="990" ht="14.25" customHeight="1" s="82"/>
    <row r="991" ht="14.25" customHeight="1" s="82"/>
    <row r="992" ht="14.25" customHeight="1" s="82"/>
    <row r="993" ht="14.25" customHeight="1" s="82"/>
    <row r="994" ht="14.25" customHeight="1" s="82"/>
    <row r="995" ht="14.25" customHeight="1" s="82"/>
    <row r="996" ht="14.25" customHeight="1" s="82"/>
    <row r="997" ht="14.25" customHeight="1" s="82"/>
    <row r="998" ht="14.25" customHeight="1" s="82"/>
    <row r="999" ht="14.25" customHeight="1" s="82"/>
    <row r="1000" ht="14.25" customHeight="1" s="82"/>
  </sheetData>
  <mergeCells count="2">
    <mergeCell ref="A2:M2"/>
    <mergeCell ref="A1:M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375623"/>
    <outlinePr summaryBelow="1" summaryRight="1"/>
    <pageSetUpPr/>
  </sheetPr>
  <dimension ref="A1:L4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40.71" customWidth="1" style="82" min="1" max="1"/>
    <col width="18.71" customWidth="1" style="82" min="2" max="2"/>
    <col width="20.71" customWidth="1" style="82" min="3" max="3"/>
    <col width="14.71" customWidth="1" style="82" min="4" max="5"/>
    <col width="12.71" customWidth="1" style="82" min="6" max="6"/>
    <col width="13.71" customWidth="1" style="82" min="7" max="7"/>
    <col width="11.71" customWidth="1" style="82" min="8" max="8"/>
    <col width="12.71" customWidth="1" style="82" min="9" max="9"/>
    <col width="13.71" customWidth="1" style="82" min="10" max="10"/>
    <col width="16.71" customWidth="1" style="82" min="11" max="11"/>
    <col width="30.71" customWidth="1" style="82" min="12" max="12"/>
    <col width="8.710000000000001" customWidth="1" style="82" min="13" max="26"/>
  </cols>
  <sheetData>
    <row r="1" ht="30" customHeight="1" s="82">
      <c r="A1" s="91" t="inlineStr">
        <is>
          <t>Mutual Fund Portfolio — Automated Analysis</t>
        </is>
      </c>
    </row>
    <row r="2" ht="30" customHeight="1" s="82">
      <c r="A2" s="92" t="inlineStr">
        <is>
          <t>⚙️ All columns auto-calculated from 📥 MF Data Input. Do NOT edit. Alpha = your CAGR minus benchmark 1Y return.</t>
        </is>
      </c>
    </row>
    <row r="3" ht="27.75" customHeight="1" s="82">
      <c r="A3" s="33" t="inlineStr">
        <is>
          <t>Fund Name</t>
        </is>
      </c>
      <c r="B3" s="33" t="inlineStr">
        <is>
          <t>AMC</t>
        </is>
      </c>
      <c r="C3" s="33" t="inlineStr">
        <is>
          <t>Category</t>
        </is>
      </c>
      <c r="D3" s="33" t="inlineStr">
        <is>
          <t>Invested (₹)</t>
        </is>
      </c>
      <c r="E3" s="33" t="inlineStr">
        <is>
          <t>Current Value (₹)</t>
        </is>
      </c>
      <c r="F3" s="33" t="inlineStr">
        <is>
          <t>P&amp;L (₹)</t>
        </is>
      </c>
      <c r="G3" s="33" t="inlineStr">
        <is>
          <t>Absolute Return %</t>
        </is>
      </c>
      <c r="H3" s="33" t="inlineStr">
        <is>
          <t>CAGR %</t>
        </is>
      </c>
      <c r="I3" s="33" t="inlineStr">
        <is>
          <t>Portfolio Wt%</t>
        </is>
      </c>
      <c r="J3" s="33" t="inlineStr">
        <is>
          <t>Alpha vs Benchmark</t>
        </is>
      </c>
      <c r="K3" s="33" t="inlineStr">
        <is>
          <t>Signal</t>
        </is>
      </c>
      <c r="L3" s="33" t="inlineStr">
        <is>
          <t>Recommended Action</t>
        </is>
      </c>
    </row>
    <row r="4" ht="18" customHeight="1" s="82">
      <c r="A4" s="59">
        <f>'📥 MF Data Input'!A4</f>
        <v/>
      </c>
      <c r="B4" s="59">
        <f>'📥 MF Data Input'!B4</f>
        <v/>
      </c>
      <c r="C4" s="59">
        <f>'📥 MF Data Input'!C4</f>
        <v/>
      </c>
      <c r="D4" s="42">
        <f>'📥 MF Data Input'!K4</f>
        <v/>
      </c>
      <c r="E4" s="42">
        <f>'📥 MF Data Input'!L4</f>
        <v/>
      </c>
      <c r="F4" s="42">
        <f>'📥 MF Data Input'!M4</f>
        <v/>
      </c>
      <c r="G4" s="43">
        <f>'📥 MF Data Input'!N4</f>
        <v/>
      </c>
      <c r="H4" s="43">
        <f>'📥 MF Data Input'!O4</f>
        <v/>
      </c>
      <c r="I4" s="43">
        <f>'📥 MF Data Input'!P4</f>
        <v/>
      </c>
      <c r="J4" s="43">
        <f>IFERROR(IF('📥 MF Data Input'!I4="","N/A",'📥 MF Data Input'!O4-'📥 MF Data Input'!I4/100),"N/A")</f>
        <v/>
      </c>
      <c r="K4" s="61">
        <f>IFERROR(IF('📥 MF Data Input'!A4="","",IF('📥 MF Data Input'!O4&lt;0,"🔴 Negative Return",IF(AND('📥 MF Data Input'!I4&lt;&gt;"",'📥 MF Data Input'!O4&lt;'📥 MF Data Input'!I4/100),"🟡 Below Benchmark",IF('📥 MF Data Input'!O4&gt;0.15,"🟢 Outperforming","🔵 In Line")))),"")</f>
        <v/>
      </c>
      <c r="L4" s="62">
        <f>IFERROR(IF('📥 MF Data Input'!A4="","",IF('📥 MF Data Input'!O4&lt;0,"Negative returns — review fund; check if macro or fund-specific",IF(AND('📥 MF Data Input'!I4&lt;&gt;"",'📥 MF Data Input'!O4&lt;'📥 MF Data Input'!I4/100),"Lagging benchmark 2+ yrs? Consider switching to index fund",IF('📥 MF Data Input'!O4&gt;0.15,"Strong alpha — hold; consider increasing SIP","Continue SIP; review annually against benchmark")))),"")</f>
        <v/>
      </c>
    </row>
    <row r="5" ht="18" customHeight="1" s="82">
      <c r="A5" s="63">
        <f>'📥 MF Data Input'!A5</f>
        <v/>
      </c>
      <c r="B5" s="63">
        <f>'📥 MF Data Input'!B5</f>
        <v/>
      </c>
      <c r="C5" s="63">
        <f>'📥 MF Data Input'!C5</f>
        <v/>
      </c>
      <c r="D5" s="51">
        <f>'📥 MF Data Input'!K5</f>
        <v/>
      </c>
      <c r="E5" s="51">
        <f>'📥 MF Data Input'!L5</f>
        <v/>
      </c>
      <c r="F5" s="51">
        <f>'📥 MF Data Input'!M5</f>
        <v/>
      </c>
      <c r="G5" s="52">
        <f>'📥 MF Data Input'!N5</f>
        <v/>
      </c>
      <c r="H5" s="52">
        <f>'📥 MF Data Input'!O5</f>
        <v/>
      </c>
      <c r="I5" s="52">
        <f>'📥 MF Data Input'!P5</f>
        <v/>
      </c>
      <c r="J5" s="52">
        <f>IFERROR(IF('📥 MF Data Input'!I5="","N/A",'📥 MF Data Input'!O5-'📥 MF Data Input'!I5/100),"N/A")</f>
        <v/>
      </c>
      <c r="K5" s="65">
        <f>IFERROR(IF('📥 MF Data Input'!A5="","",IF('📥 MF Data Input'!O5&lt;0,"🔴 Negative Return",IF(AND('📥 MF Data Input'!I5&lt;&gt;"",'📥 MF Data Input'!O5&lt;'📥 MF Data Input'!I5/100),"🟡 Below Benchmark",IF('📥 MF Data Input'!O5&gt;0.15,"🟢 Outperforming","🔵 In Line")))),"")</f>
        <v/>
      </c>
      <c r="L5" s="66">
        <f>IFERROR(IF('📥 MF Data Input'!A5="","",IF('📥 MF Data Input'!O5&lt;0,"Negative returns — review fund; check if macro or fund-specific",IF(AND('📥 MF Data Input'!I5&lt;&gt;"",'📥 MF Data Input'!O5&lt;'📥 MF Data Input'!I5/100),"Lagging benchmark 2+ yrs? Consider switching to index fund",IF('📥 MF Data Input'!O5&gt;0.15,"Strong alpha — hold; consider increasing SIP","Continue SIP; review annually against benchmark")))),"")</f>
        <v/>
      </c>
    </row>
    <row r="6" ht="18" customHeight="1" s="82">
      <c r="A6" s="59">
        <f>'📥 MF Data Input'!A6</f>
        <v/>
      </c>
      <c r="B6" s="59">
        <f>'📥 MF Data Input'!B6</f>
        <v/>
      </c>
      <c r="C6" s="59">
        <f>'📥 MF Data Input'!C6</f>
        <v/>
      </c>
      <c r="D6" s="42">
        <f>'📥 MF Data Input'!K6</f>
        <v/>
      </c>
      <c r="E6" s="42">
        <f>'📥 MF Data Input'!L6</f>
        <v/>
      </c>
      <c r="F6" s="42">
        <f>'📥 MF Data Input'!M6</f>
        <v/>
      </c>
      <c r="G6" s="43">
        <f>'📥 MF Data Input'!N6</f>
        <v/>
      </c>
      <c r="H6" s="43">
        <f>'📥 MF Data Input'!O6</f>
        <v/>
      </c>
      <c r="I6" s="43">
        <f>'📥 MF Data Input'!P6</f>
        <v/>
      </c>
      <c r="J6" s="43">
        <f>IFERROR(IF('📥 MF Data Input'!I6="","N/A",'📥 MF Data Input'!O6-'📥 MF Data Input'!I6/100),"N/A")</f>
        <v/>
      </c>
      <c r="K6" s="61">
        <f>IFERROR(IF('📥 MF Data Input'!A6="","",IF('📥 MF Data Input'!O6&lt;0,"🔴 Negative Return",IF(AND('📥 MF Data Input'!I6&lt;&gt;"",'📥 MF Data Input'!O6&lt;'📥 MF Data Input'!I6/100),"🟡 Below Benchmark",IF('📥 MF Data Input'!O6&gt;0.15,"🟢 Outperforming","🔵 In Line")))),"")</f>
        <v/>
      </c>
      <c r="L6" s="62">
        <f>IFERROR(IF('📥 MF Data Input'!A6="","",IF('📥 MF Data Input'!O6&lt;0,"Negative returns — review fund; check if macro or fund-specific",IF(AND('📥 MF Data Input'!I6&lt;&gt;"",'📥 MF Data Input'!O6&lt;'📥 MF Data Input'!I6/100),"Lagging benchmark 2+ yrs? Consider switching to index fund",IF('📥 MF Data Input'!O6&gt;0.15,"Strong alpha — hold; consider increasing SIP","Continue SIP; review annually against benchmark")))),"")</f>
        <v/>
      </c>
    </row>
    <row r="7" ht="18" customHeight="1" s="82">
      <c r="A7" s="63">
        <f>'📥 MF Data Input'!A7</f>
        <v/>
      </c>
      <c r="B7" s="63">
        <f>'📥 MF Data Input'!B7</f>
        <v/>
      </c>
      <c r="C7" s="63">
        <f>'📥 MF Data Input'!C7</f>
        <v/>
      </c>
      <c r="D7" s="51">
        <f>'📥 MF Data Input'!K7</f>
        <v/>
      </c>
      <c r="E7" s="51">
        <f>'📥 MF Data Input'!L7</f>
        <v/>
      </c>
      <c r="F7" s="51">
        <f>'📥 MF Data Input'!M7</f>
        <v/>
      </c>
      <c r="G7" s="52">
        <f>'📥 MF Data Input'!N7</f>
        <v/>
      </c>
      <c r="H7" s="52">
        <f>'📥 MF Data Input'!O7</f>
        <v/>
      </c>
      <c r="I7" s="52">
        <f>'📥 MF Data Input'!P7</f>
        <v/>
      </c>
      <c r="J7" s="52">
        <f>IFERROR(IF('📥 MF Data Input'!I7="","N/A",'📥 MF Data Input'!O7-'📥 MF Data Input'!I7/100),"N/A")</f>
        <v/>
      </c>
      <c r="K7" s="65">
        <f>IFERROR(IF('📥 MF Data Input'!A7="","",IF('📥 MF Data Input'!O7&lt;0,"🔴 Negative Return",IF(AND('📥 MF Data Input'!I7&lt;&gt;"",'📥 MF Data Input'!O7&lt;'📥 MF Data Input'!I7/100),"🟡 Below Benchmark",IF('📥 MF Data Input'!O7&gt;0.15,"🟢 Outperforming","🔵 In Line")))),"")</f>
        <v/>
      </c>
      <c r="L7" s="66">
        <f>IFERROR(IF('📥 MF Data Input'!A7="","",IF('📥 MF Data Input'!O7&lt;0,"Negative returns — review fund; check if macro or fund-specific",IF(AND('📥 MF Data Input'!I7&lt;&gt;"",'📥 MF Data Input'!O7&lt;'📥 MF Data Input'!I7/100),"Lagging benchmark 2+ yrs? Consider switching to index fund",IF('📥 MF Data Input'!O7&gt;0.15,"Strong alpha — hold; consider increasing SIP","Continue SIP; review annually against benchmark")))),"")</f>
        <v/>
      </c>
    </row>
    <row r="8" ht="18" customHeight="1" s="82">
      <c r="A8" s="59">
        <f>'📥 MF Data Input'!A8</f>
        <v/>
      </c>
      <c r="B8" s="59">
        <f>'📥 MF Data Input'!B8</f>
        <v/>
      </c>
      <c r="C8" s="59">
        <f>'📥 MF Data Input'!C8</f>
        <v/>
      </c>
      <c r="D8" s="42">
        <f>'📥 MF Data Input'!K8</f>
        <v/>
      </c>
      <c r="E8" s="42">
        <f>'📥 MF Data Input'!L8</f>
        <v/>
      </c>
      <c r="F8" s="42">
        <f>'📥 MF Data Input'!M8</f>
        <v/>
      </c>
      <c r="G8" s="43">
        <f>'📥 MF Data Input'!N8</f>
        <v/>
      </c>
      <c r="H8" s="43">
        <f>'📥 MF Data Input'!O8</f>
        <v/>
      </c>
      <c r="I8" s="43">
        <f>'📥 MF Data Input'!P8</f>
        <v/>
      </c>
      <c r="J8" s="43">
        <f>IFERROR(IF('📥 MF Data Input'!I8="","N/A",'📥 MF Data Input'!O8-'📥 MF Data Input'!I8/100),"N/A")</f>
        <v/>
      </c>
      <c r="K8" s="61">
        <f>IFERROR(IF('📥 MF Data Input'!A8="","",IF('📥 MF Data Input'!O8&lt;0,"🔴 Negative Return",IF(AND('📥 MF Data Input'!I8&lt;&gt;"",'📥 MF Data Input'!O8&lt;'📥 MF Data Input'!I8/100),"🟡 Below Benchmark",IF('📥 MF Data Input'!O8&gt;0.15,"🟢 Outperforming","🔵 In Line")))),"")</f>
        <v/>
      </c>
      <c r="L8" s="62">
        <f>IFERROR(IF('📥 MF Data Input'!A8="","",IF('📥 MF Data Input'!O8&lt;0,"Negative returns — review fund; check if macro or fund-specific",IF(AND('📥 MF Data Input'!I8&lt;&gt;"",'📥 MF Data Input'!O8&lt;'📥 MF Data Input'!I8/100),"Lagging benchmark 2+ yrs? Consider switching to index fund",IF('📥 MF Data Input'!O8&gt;0.15,"Strong alpha — hold; consider increasing SIP","Continue SIP; review annually against benchmark")))),"")</f>
        <v/>
      </c>
    </row>
    <row r="9" ht="18" customHeight="1" s="82">
      <c r="A9" s="63">
        <f>'📥 MF Data Input'!A9</f>
        <v/>
      </c>
      <c r="B9" s="63">
        <f>'📥 MF Data Input'!B9</f>
        <v/>
      </c>
      <c r="C9" s="63">
        <f>'📥 MF Data Input'!C9</f>
        <v/>
      </c>
      <c r="D9" s="51">
        <f>'📥 MF Data Input'!K9</f>
        <v/>
      </c>
      <c r="E9" s="51">
        <f>'📥 MF Data Input'!L9</f>
        <v/>
      </c>
      <c r="F9" s="51">
        <f>'📥 MF Data Input'!M9</f>
        <v/>
      </c>
      <c r="G9" s="52">
        <f>'📥 MF Data Input'!N9</f>
        <v/>
      </c>
      <c r="H9" s="52">
        <f>'📥 MF Data Input'!O9</f>
        <v/>
      </c>
      <c r="I9" s="52">
        <f>'📥 MF Data Input'!P9</f>
        <v/>
      </c>
      <c r="J9" s="52">
        <f>IFERROR(IF('📥 MF Data Input'!I9="","N/A",'📥 MF Data Input'!O9-'📥 MF Data Input'!I9/100),"N/A")</f>
        <v/>
      </c>
      <c r="K9" s="65">
        <f>IFERROR(IF('📥 MF Data Input'!A9="","",IF('📥 MF Data Input'!O9&lt;0,"🔴 Negative Return",IF(AND('📥 MF Data Input'!I9&lt;&gt;"",'📥 MF Data Input'!O9&lt;'📥 MF Data Input'!I9/100),"🟡 Below Benchmark",IF('📥 MF Data Input'!O9&gt;0.15,"🟢 Outperforming","🔵 In Line")))),"")</f>
        <v/>
      </c>
      <c r="L9" s="66">
        <f>IFERROR(IF('📥 MF Data Input'!A9="","",IF('📥 MF Data Input'!O9&lt;0,"Negative returns — review fund; check if macro or fund-specific",IF(AND('📥 MF Data Input'!I9&lt;&gt;"",'📥 MF Data Input'!O9&lt;'📥 MF Data Input'!I9/100),"Lagging benchmark 2+ yrs? Consider switching to index fund",IF('📥 MF Data Input'!O9&gt;0.15,"Strong alpha — hold; consider increasing SIP","Continue SIP; review annually against benchmark")))),"")</f>
        <v/>
      </c>
    </row>
    <row r="10" ht="18" customHeight="1" s="82">
      <c r="A10" s="59">
        <f>'📥 MF Data Input'!A10</f>
        <v/>
      </c>
      <c r="B10" s="59">
        <f>'📥 MF Data Input'!B10</f>
        <v/>
      </c>
      <c r="C10" s="59">
        <f>'📥 MF Data Input'!C10</f>
        <v/>
      </c>
      <c r="D10" s="42">
        <f>'📥 MF Data Input'!K10</f>
        <v/>
      </c>
      <c r="E10" s="42">
        <f>'📥 MF Data Input'!L10</f>
        <v/>
      </c>
      <c r="F10" s="42">
        <f>'📥 MF Data Input'!M10</f>
        <v/>
      </c>
      <c r="G10" s="43">
        <f>'📥 MF Data Input'!N10</f>
        <v/>
      </c>
      <c r="H10" s="43">
        <f>'📥 MF Data Input'!O10</f>
        <v/>
      </c>
      <c r="I10" s="43">
        <f>'📥 MF Data Input'!P10</f>
        <v/>
      </c>
      <c r="J10" s="43">
        <f>IFERROR(IF('📥 MF Data Input'!I10="","N/A",'📥 MF Data Input'!O10-'📥 MF Data Input'!I10/100),"N/A")</f>
        <v/>
      </c>
      <c r="K10" s="61">
        <f>IFERROR(IF('📥 MF Data Input'!A10="","",IF('📥 MF Data Input'!O10&lt;0,"🔴 Negative Return",IF(AND('📥 MF Data Input'!I10&lt;&gt;"",'📥 MF Data Input'!O10&lt;'📥 MF Data Input'!I10/100),"🟡 Below Benchmark",IF('📥 MF Data Input'!O10&gt;0.15,"🟢 Outperforming","🔵 In Line")))),"")</f>
        <v/>
      </c>
      <c r="L10" s="62">
        <f>IFERROR(IF('📥 MF Data Input'!A10="","",IF('📥 MF Data Input'!O10&lt;0,"Negative returns — review fund; check if macro or fund-specific",IF(AND('📥 MF Data Input'!I10&lt;&gt;"",'📥 MF Data Input'!O10&lt;'📥 MF Data Input'!I10/100),"Lagging benchmark 2+ yrs? Consider switching to index fund",IF('📥 MF Data Input'!O10&gt;0.15,"Strong alpha — hold; consider increasing SIP","Continue SIP; review annually against benchmark")))),"")</f>
        <v/>
      </c>
    </row>
    <row r="11" ht="18" customHeight="1" s="82">
      <c r="A11" s="63">
        <f>'📥 MF Data Input'!A11</f>
        <v/>
      </c>
      <c r="B11" s="63">
        <f>'📥 MF Data Input'!B11</f>
        <v/>
      </c>
      <c r="C11" s="63">
        <f>'📥 MF Data Input'!C11</f>
        <v/>
      </c>
      <c r="D11" s="51">
        <f>'📥 MF Data Input'!K11</f>
        <v/>
      </c>
      <c r="E11" s="51">
        <f>'📥 MF Data Input'!L11</f>
        <v/>
      </c>
      <c r="F11" s="51">
        <f>'📥 MF Data Input'!M11</f>
        <v/>
      </c>
      <c r="G11" s="52">
        <f>'📥 MF Data Input'!N11</f>
        <v/>
      </c>
      <c r="H11" s="52">
        <f>'📥 MF Data Input'!O11</f>
        <v/>
      </c>
      <c r="I11" s="52">
        <f>'📥 MF Data Input'!P11</f>
        <v/>
      </c>
      <c r="J11" s="52">
        <f>IFERROR(IF('📥 MF Data Input'!I11="","N/A",'📥 MF Data Input'!O11-'📥 MF Data Input'!I11/100),"N/A")</f>
        <v/>
      </c>
      <c r="K11" s="65">
        <f>IFERROR(IF('📥 MF Data Input'!A11="","",IF('📥 MF Data Input'!O11&lt;0,"🔴 Negative Return",IF(AND('📥 MF Data Input'!I11&lt;&gt;"",'📥 MF Data Input'!O11&lt;'📥 MF Data Input'!I11/100),"🟡 Below Benchmark",IF('📥 MF Data Input'!O11&gt;0.15,"🟢 Outperforming","🔵 In Line")))),"")</f>
        <v/>
      </c>
      <c r="L11" s="66">
        <f>IFERROR(IF('📥 MF Data Input'!A11="","",IF('📥 MF Data Input'!O11&lt;0,"Negative returns — review fund; check if macro or fund-specific",IF(AND('📥 MF Data Input'!I11&lt;&gt;"",'📥 MF Data Input'!O11&lt;'📥 MF Data Input'!I11/100),"Lagging benchmark 2+ yrs? Consider switching to index fund",IF('📥 MF Data Input'!O11&gt;0.15,"Strong alpha — hold; consider increasing SIP","Continue SIP; review annually against benchmark")))),"")</f>
        <v/>
      </c>
    </row>
    <row r="12" ht="18" customHeight="1" s="82">
      <c r="A12" s="59">
        <f>'📥 MF Data Input'!A12</f>
        <v/>
      </c>
      <c r="B12" s="59">
        <f>'📥 MF Data Input'!B12</f>
        <v/>
      </c>
      <c r="C12" s="59">
        <f>'📥 MF Data Input'!C12</f>
        <v/>
      </c>
      <c r="D12" s="42">
        <f>'📥 MF Data Input'!K12</f>
        <v/>
      </c>
      <c r="E12" s="42">
        <f>'📥 MF Data Input'!L12</f>
        <v/>
      </c>
      <c r="F12" s="42">
        <f>'📥 MF Data Input'!M12</f>
        <v/>
      </c>
      <c r="G12" s="43">
        <f>'📥 MF Data Input'!N12</f>
        <v/>
      </c>
      <c r="H12" s="43">
        <f>'📥 MF Data Input'!O12</f>
        <v/>
      </c>
      <c r="I12" s="43">
        <f>'📥 MF Data Input'!P12</f>
        <v/>
      </c>
      <c r="J12" s="43">
        <f>IFERROR(IF('📥 MF Data Input'!I12="","N/A",'📥 MF Data Input'!O12-'📥 MF Data Input'!I12/100),"N/A")</f>
        <v/>
      </c>
      <c r="K12" s="61">
        <f>IFERROR(IF('📥 MF Data Input'!A12="","",IF('📥 MF Data Input'!O12&lt;0,"🔴 Negative Return",IF(AND('📥 MF Data Input'!I12&lt;&gt;"",'📥 MF Data Input'!O12&lt;'📥 MF Data Input'!I12/100),"🟡 Below Benchmark",IF('📥 MF Data Input'!O12&gt;0.15,"🟢 Outperforming","🔵 In Line")))),"")</f>
        <v/>
      </c>
      <c r="L12" s="62">
        <f>IFERROR(IF('📥 MF Data Input'!A12="","",IF('📥 MF Data Input'!O12&lt;0,"Negative returns — review fund; check if macro or fund-specific",IF(AND('📥 MF Data Input'!I12&lt;&gt;"",'📥 MF Data Input'!O12&lt;'📥 MF Data Input'!I12/100),"Lagging benchmark 2+ yrs? Consider switching to index fund",IF('📥 MF Data Input'!O12&gt;0.15,"Strong alpha — hold; consider increasing SIP","Continue SIP; review annually against benchmark")))),"")</f>
        <v/>
      </c>
    </row>
    <row r="13" ht="18" customHeight="1" s="82">
      <c r="A13" s="63">
        <f>'📥 MF Data Input'!A13</f>
        <v/>
      </c>
      <c r="B13" s="63">
        <f>'📥 MF Data Input'!B13</f>
        <v/>
      </c>
      <c r="C13" s="63">
        <f>'📥 MF Data Input'!C13</f>
        <v/>
      </c>
      <c r="D13" s="51">
        <f>'📥 MF Data Input'!K13</f>
        <v/>
      </c>
      <c r="E13" s="51">
        <f>'📥 MF Data Input'!L13</f>
        <v/>
      </c>
      <c r="F13" s="51">
        <f>'📥 MF Data Input'!M13</f>
        <v/>
      </c>
      <c r="G13" s="52">
        <f>'📥 MF Data Input'!N13</f>
        <v/>
      </c>
      <c r="H13" s="52">
        <f>'📥 MF Data Input'!O13</f>
        <v/>
      </c>
      <c r="I13" s="52">
        <f>'📥 MF Data Input'!P13</f>
        <v/>
      </c>
      <c r="J13" s="52">
        <f>IFERROR(IF('📥 MF Data Input'!I13="","N/A",'📥 MF Data Input'!O13-'📥 MF Data Input'!I13/100),"N/A")</f>
        <v/>
      </c>
      <c r="K13" s="65">
        <f>IFERROR(IF('📥 MF Data Input'!A13="","",IF('📥 MF Data Input'!O13&lt;0,"🔴 Negative Return",IF(AND('📥 MF Data Input'!I13&lt;&gt;"",'📥 MF Data Input'!O13&lt;'📥 MF Data Input'!I13/100),"🟡 Below Benchmark",IF('📥 MF Data Input'!O13&gt;0.15,"🟢 Outperforming","🔵 In Line")))),"")</f>
        <v/>
      </c>
      <c r="L13" s="66">
        <f>IFERROR(IF('📥 MF Data Input'!A13="","",IF('📥 MF Data Input'!O13&lt;0,"Negative returns — review fund; check if macro or fund-specific",IF(AND('📥 MF Data Input'!I13&lt;&gt;"",'📥 MF Data Input'!O13&lt;'📥 MF Data Input'!I13/100),"Lagging benchmark 2+ yrs? Consider switching to index fund",IF('📥 MF Data Input'!O13&gt;0.15,"Strong alpha — hold; consider increasing SIP","Continue SIP; review annually against benchmark")))),"")</f>
        <v/>
      </c>
    </row>
    <row r="14" ht="18" customHeight="1" s="82">
      <c r="A14" s="59">
        <f>'📥 MF Data Input'!A14</f>
        <v/>
      </c>
      <c r="B14" s="59">
        <f>'📥 MF Data Input'!B14</f>
        <v/>
      </c>
      <c r="C14" s="59">
        <f>'📥 MF Data Input'!C14</f>
        <v/>
      </c>
      <c r="D14" s="42">
        <f>'📥 MF Data Input'!K14</f>
        <v/>
      </c>
      <c r="E14" s="42">
        <f>'📥 MF Data Input'!L14</f>
        <v/>
      </c>
      <c r="F14" s="42">
        <f>'📥 MF Data Input'!M14</f>
        <v/>
      </c>
      <c r="G14" s="43">
        <f>'📥 MF Data Input'!N14</f>
        <v/>
      </c>
      <c r="H14" s="43">
        <f>'📥 MF Data Input'!O14</f>
        <v/>
      </c>
      <c r="I14" s="43">
        <f>'📥 MF Data Input'!P14</f>
        <v/>
      </c>
      <c r="J14" s="43">
        <f>IFERROR(IF('📥 MF Data Input'!I14="","N/A",'📥 MF Data Input'!O14-'📥 MF Data Input'!I14/100),"N/A")</f>
        <v/>
      </c>
      <c r="K14" s="61">
        <f>IFERROR(IF('📥 MF Data Input'!A14="","",IF('📥 MF Data Input'!O14&lt;0,"🔴 Negative Return",IF(AND('📥 MF Data Input'!I14&lt;&gt;"",'📥 MF Data Input'!O14&lt;'📥 MF Data Input'!I14/100),"🟡 Below Benchmark",IF('📥 MF Data Input'!O14&gt;0.15,"🟢 Outperforming","🔵 In Line")))),"")</f>
        <v/>
      </c>
      <c r="L14" s="62">
        <f>IFERROR(IF('📥 MF Data Input'!A14="","",IF('📥 MF Data Input'!O14&lt;0,"Negative returns — review fund; check if macro or fund-specific",IF(AND('📥 MF Data Input'!I14&lt;&gt;"",'📥 MF Data Input'!O14&lt;'📥 MF Data Input'!I14/100),"Lagging benchmark 2+ yrs? Consider switching to index fund",IF('📥 MF Data Input'!O14&gt;0.15,"Strong alpha — hold; consider increasing SIP","Continue SIP; review annually against benchmark")))),"")</f>
        <v/>
      </c>
    </row>
    <row r="15" ht="18" customHeight="1" s="82">
      <c r="A15" s="63">
        <f>'📥 MF Data Input'!A15</f>
        <v/>
      </c>
      <c r="B15" s="63">
        <f>'📥 MF Data Input'!B15</f>
        <v/>
      </c>
      <c r="C15" s="63">
        <f>'📥 MF Data Input'!C15</f>
        <v/>
      </c>
      <c r="D15" s="51">
        <f>'📥 MF Data Input'!K15</f>
        <v/>
      </c>
      <c r="E15" s="51">
        <f>'📥 MF Data Input'!L15</f>
        <v/>
      </c>
      <c r="F15" s="51">
        <f>'📥 MF Data Input'!M15</f>
        <v/>
      </c>
      <c r="G15" s="52">
        <f>'📥 MF Data Input'!N15</f>
        <v/>
      </c>
      <c r="H15" s="52">
        <f>'📥 MF Data Input'!O15</f>
        <v/>
      </c>
      <c r="I15" s="52">
        <f>'📥 MF Data Input'!P15</f>
        <v/>
      </c>
      <c r="J15" s="52">
        <f>IFERROR(IF('📥 MF Data Input'!I15="","N/A",'📥 MF Data Input'!O15-'📥 MF Data Input'!I15/100),"N/A")</f>
        <v/>
      </c>
      <c r="K15" s="65">
        <f>IFERROR(IF('📥 MF Data Input'!A15="","",IF('📥 MF Data Input'!O15&lt;0,"🔴 Negative Return",IF(AND('📥 MF Data Input'!I15&lt;&gt;"",'📥 MF Data Input'!O15&lt;'📥 MF Data Input'!I15/100),"🟡 Below Benchmark",IF('📥 MF Data Input'!O15&gt;0.15,"🟢 Outperforming","🔵 In Line")))),"")</f>
        <v/>
      </c>
      <c r="L15" s="66">
        <f>IFERROR(IF('📥 MF Data Input'!A15="","",IF('📥 MF Data Input'!O15&lt;0,"Negative returns — review fund; check if macro or fund-specific",IF(AND('📥 MF Data Input'!I15&lt;&gt;"",'📥 MF Data Input'!O15&lt;'📥 MF Data Input'!I15/100),"Lagging benchmark 2+ yrs? Consider switching to index fund",IF('📥 MF Data Input'!O15&gt;0.15,"Strong alpha — hold; consider increasing SIP","Continue SIP; review annually against benchmark")))),"")</f>
        <v/>
      </c>
    </row>
    <row r="16" ht="18" customHeight="1" s="82">
      <c r="A16" s="59">
        <f>'📥 MF Data Input'!A16</f>
        <v/>
      </c>
      <c r="B16" s="59">
        <f>'📥 MF Data Input'!B16</f>
        <v/>
      </c>
      <c r="C16" s="59">
        <f>'📥 MF Data Input'!C16</f>
        <v/>
      </c>
      <c r="D16" s="42">
        <f>'📥 MF Data Input'!K16</f>
        <v/>
      </c>
      <c r="E16" s="42">
        <f>'📥 MF Data Input'!L16</f>
        <v/>
      </c>
      <c r="F16" s="42">
        <f>'📥 MF Data Input'!M16</f>
        <v/>
      </c>
      <c r="G16" s="43">
        <f>'📥 MF Data Input'!N16</f>
        <v/>
      </c>
      <c r="H16" s="43">
        <f>'📥 MF Data Input'!O16</f>
        <v/>
      </c>
      <c r="I16" s="43">
        <f>'📥 MF Data Input'!P16</f>
        <v/>
      </c>
      <c r="J16" s="43">
        <f>IFERROR(IF('📥 MF Data Input'!I16="","N/A",'📥 MF Data Input'!O16-'📥 MF Data Input'!I16/100),"N/A")</f>
        <v/>
      </c>
      <c r="K16" s="61">
        <f>IFERROR(IF('📥 MF Data Input'!A16="","",IF('📥 MF Data Input'!O16&lt;0,"🔴 Negative Return",IF(AND('📥 MF Data Input'!I16&lt;&gt;"",'📥 MF Data Input'!O16&lt;'📥 MF Data Input'!I16/100),"🟡 Below Benchmark",IF('📥 MF Data Input'!O16&gt;0.15,"🟢 Outperforming","🔵 In Line")))),"")</f>
        <v/>
      </c>
      <c r="L16" s="62">
        <f>IFERROR(IF('📥 MF Data Input'!A16="","",IF('📥 MF Data Input'!O16&lt;0,"Negative returns — review fund; check if macro or fund-specific",IF(AND('📥 MF Data Input'!I16&lt;&gt;"",'📥 MF Data Input'!O16&lt;'📥 MF Data Input'!I16/100),"Lagging benchmark 2+ yrs? Consider switching to index fund",IF('📥 MF Data Input'!O16&gt;0.15,"Strong alpha — hold; consider increasing SIP","Continue SIP; review annually against benchmark")))),"")</f>
        <v/>
      </c>
    </row>
    <row r="17" ht="18" customHeight="1" s="82">
      <c r="A17" s="63">
        <f>'📥 MF Data Input'!A17</f>
        <v/>
      </c>
      <c r="B17" s="63">
        <f>'📥 MF Data Input'!B17</f>
        <v/>
      </c>
      <c r="C17" s="63">
        <f>'📥 MF Data Input'!C17</f>
        <v/>
      </c>
      <c r="D17" s="51">
        <f>'📥 MF Data Input'!K17</f>
        <v/>
      </c>
      <c r="E17" s="51">
        <f>'📥 MF Data Input'!L17</f>
        <v/>
      </c>
      <c r="F17" s="51">
        <f>'📥 MF Data Input'!M17</f>
        <v/>
      </c>
      <c r="G17" s="52">
        <f>'📥 MF Data Input'!N17</f>
        <v/>
      </c>
      <c r="H17" s="52">
        <f>'📥 MF Data Input'!O17</f>
        <v/>
      </c>
      <c r="I17" s="52">
        <f>'📥 MF Data Input'!P17</f>
        <v/>
      </c>
      <c r="J17" s="52">
        <f>IFERROR(IF('📥 MF Data Input'!I17="","N/A",'📥 MF Data Input'!O17-'📥 MF Data Input'!I17/100),"N/A")</f>
        <v/>
      </c>
      <c r="K17" s="65">
        <f>IFERROR(IF('📥 MF Data Input'!A17="","",IF('📥 MF Data Input'!O17&lt;0,"🔴 Negative Return",IF(AND('📥 MF Data Input'!I17&lt;&gt;"",'📥 MF Data Input'!O17&lt;'📥 MF Data Input'!I17/100),"🟡 Below Benchmark",IF('📥 MF Data Input'!O17&gt;0.15,"🟢 Outperforming","🔵 In Line")))),"")</f>
        <v/>
      </c>
      <c r="L17" s="66">
        <f>IFERROR(IF('📥 MF Data Input'!A17="","",IF('📥 MF Data Input'!O17&lt;0,"Negative returns — review fund; check if macro or fund-specific",IF(AND('📥 MF Data Input'!I17&lt;&gt;"",'📥 MF Data Input'!O17&lt;'📥 MF Data Input'!I17/100),"Lagging benchmark 2+ yrs? Consider switching to index fund",IF('📥 MF Data Input'!O17&gt;0.15,"Strong alpha — hold; consider increasing SIP","Continue SIP; review annually against benchmark")))),"")</f>
        <v/>
      </c>
    </row>
    <row r="18" ht="18" customHeight="1" s="82">
      <c r="A18" s="59">
        <f>'📥 MF Data Input'!A18</f>
        <v/>
      </c>
      <c r="B18" s="59">
        <f>'📥 MF Data Input'!B18</f>
        <v/>
      </c>
      <c r="C18" s="59">
        <f>'📥 MF Data Input'!C18</f>
        <v/>
      </c>
      <c r="D18" s="42">
        <f>'📥 MF Data Input'!K18</f>
        <v/>
      </c>
      <c r="E18" s="42">
        <f>'📥 MF Data Input'!L18</f>
        <v/>
      </c>
      <c r="F18" s="42">
        <f>'📥 MF Data Input'!M18</f>
        <v/>
      </c>
      <c r="G18" s="43">
        <f>'📥 MF Data Input'!N18</f>
        <v/>
      </c>
      <c r="H18" s="43">
        <f>'📥 MF Data Input'!O18</f>
        <v/>
      </c>
      <c r="I18" s="43">
        <f>'📥 MF Data Input'!P18</f>
        <v/>
      </c>
      <c r="J18" s="43">
        <f>IFERROR(IF('📥 MF Data Input'!I18="","N/A",'📥 MF Data Input'!O18-'📥 MF Data Input'!I18/100),"N/A")</f>
        <v/>
      </c>
      <c r="K18" s="61">
        <f>IFERROR(IF('📥 MF Data Input'!A18="","",IF('📥 MF Data Input'!O18&lt;0,"🔴 Negative Return",IF(AND('📥 MF Data Input'!I18&lt;&gt;"",'📥 MF Data Input'!O18&lt;'📥 MF Data Input'!I18/100),"🟡 Below Benchmark",IF('📥 MF Data Input'!O18&gt;0.15,"🟢 Outperforming","🔵 In Line")))),"")</f>
        <v/>
      </c>
      <c r="L18" s="62">
        <f>IFERROR(IF('📥 MF Data Input'!A18="","",IF('📥 MF Data Input'!O18&lt;0,"Negative returns — review fund; check if macro or fund-specific",IF(AND('📥 MF Data Input'!I18&lt;&gt;"",'📥 MF Data Input'!O18&lt;'📥 MF Data Input'!I18/100),"Lagging benchmark 2+ yrs? Consider switching to index fund",IF('📥 MF Data Input'!O18&gt;0.15,"Strong alpha — hold; consider increasing SIP","Continue SIP; review annually against benchmark")))),"")</f>
        <v/>
      </c>
    </row>
    <row r="19" ht="18" customHeight="1" s="82">
      <c r="A19" s="63">
        <f>'📥 MF Data Input'!A19</f>
        <v/>
      </c>
      <c r="B19" s="63">
        <f>'📥 MF Data Input'!B19</f>
        <v/>
      </c>
      <c r="C19" s="63">
        <f>'📥 MF Data Input'!C19</f>
        <v/>
      </c>
      <c r="D19" s="51">
        <f>'📥 MF Data Input'!K19</f>
        <v/>
      </c>
      <c r="E19" s="51">
        <f>'📥 MF Data Input'!L19</f>
        <v/>
      </c>
      <c r="F19" s="51">
        <f>'📥 MF Data Input'!M19</f>
        <v/>
      </c>
      <c r="G19" s="52">
        <f>'📥 MF Data Input'!N19</f>
        <v/>
      </c>
      <c r="H19" s="52">
        <f>'📥 MF Data Input'!O19</f>
        <v/>
      </c>
      <c r="I19" s="52">
        <f>'📥 MF Data Input'!P19</f>
        <v/>
      </c>
      <c r="J19" s="52">
        <f>IFERROR(IF('📥 MF Data Input'!I19="","N/A",'📥 MF Data Input'!O19-'📥 MF Data Input'!I19/100),"N/A")</f>
        <v/>
      </c>
      <c r="K19" s="65">
        <f>IFERROR(IF('📥 MF Data Input'!A19="","",IF('📥 MF Data Input'!O19&lt;0,"🔴 Negative Return",IF(AND('📥 MF Data Input'!I19&lt;&gt;"",'📥 MF Data Input'!O19&lt;'📥 MF Data Input'!I19/100),"🟡 Below Benchmark",IF('📥 MF Data Input'!O19&gt;0.15,"🟢 Outperforming","🔵 In Line")))),"")</f>
        <v/>
      </c>
      <c r="L19" s="66">
        <f>IFERROR(IF('📥 MF Data Input'!A19="","",IF('📥 MF Data Input'!O19&lt;0,"Negative returns — review fund; check if macro or fund-specific",IF(AND('📥 MF Data Input'!I19&lt;&gt;"",'📥 MF Data Input'!O19&lt;'📥 MF Data Input'!I19/100),"Lagging benchmark 2+ yrs? Consider switching to index fund",IF('📥 MF Data Input'!O19&gt;0.15,"Strong alpha — hold; consider increasing SIP","Continue SIP; review annually against benchmark")))),"")</f>
        <v/>
      </c>
    </row>
    <row r="20" ht="18" customHeight="1" s="82">
      <c r="A20" s="59">
        <f>'📥 MF Data Input'!A20</f>
        <v/>
      </c>
      <c r="B20" s="59">
        <f>'📥 MF Data Input'!B20</f>
        <v/>
      </c>
      <c r="C20" s="59">
        <f>'📥 MF Data Input'!C20</f>
        <v/>
      </c>
      <c r="D20" s="42">
        <f>'📥 MF Data Input'!K20</f>
        <v/>
      </c>
      <c r="E20" s="42">
        <f>'📥 MF Data Input'!L20</f>
        <v/>
      </c>
      <c r="F20" s="42">
        <f>'📥 MF Data Input'!M20</f>
        <v/>
      </c>
      <c r="G20" s="43">
        <f>'📥 MF Data Input'!N20</f>
        <v/>
      </c>
      <c r="H20" s="43">
        <f>'📥 MF Data Input'!O20</f>
        <v/>
      </c>
      <c r="I20" s="43">
        <f>'📥 MF Data Input'!P20</f>
        <v/>
      </c>
      <c r="J20" s="43">
        <f>IFERROR(IF('📥 MF Data Input'!I20="","N/A",'📥 MF Data Input'!O20-'📥 MF Data Input'!I20/100),"N/A")</f>
        <v/>
      </c>
      <c r="K20" s="61">
        <f>IFERROR(IF('📥 MF Data Input'!A20="","",IF('📥 MF Data Input'!O20&lt;0,"🔴 Negative Return",IF(AND('📥 MF Data Input'!I20&lt;&gt;"",'📥 MF Data Input'!O20&lt;'📥 MF Data Input'!I20/100),"🟡 Below Benchmark",IF('📥 MF Data Input'!O20&gt;0.15,"🟢 Outperforming","🔵 In Line")))),"")</f>
        <v/>
      </c>
      <c r="L20" s="62">
        <f>IFERROR(IF('📥 MF Data Input'!A20="","",IF('📥 MF Data Input'!O20&lt;0,"Negative returns — review fund; check if macro or fund-specific",IF(AND('📥 MF Data Input'!I20&lt;&gt;"",'📥 MF Data Input'!O20&lt;'📥 MF Data Input'!I20/100),"Lagging benchmark 2+ yrs? Consider switching to index fund",IF('📥 MF Data Input'!O20&gt;0.15,"Strong alpha — hold; consider increasing SIP","Continue SIP; review annually against benchmark")))),"")</f>
        <v/>
      </c>
    </row>
    <row r="21" ht="18" customHeight="1" s="82">
      <c r="A21" s="63">
        <f>'📥 MF Data Input'!A21</f>
        <v/>
      </c>
      <c r="B21" s="63">
        <f>'📥 MF Data Input'!B21</f>
        <v/>
      </c>
      <c r="C21" s="63">
        <f>'📥 MF Data Input'!C21</f>
        <v/>
      </c>
      <c r="D21" s="51">
        <f>'📥 MF Data Input'!K21</f>
        <v/>
      </c>
      <c r="E21" s="51">
        <f>'📥 MF Data Input'!L21</f>
        <v/>
      </c>
      <c r="F21" s="51">
        <f>'📥 MF Data Input'!M21</f>
        <v/>
      </c>
      <c r="G21" s="52">
        <f>'📥 MF Data Input'!N21</f>
        <v/>
      </c>
      <c r="H21" s="52">
        <f>'📥 MF Data Input'!O21</f>
        <v/>
      </c>
      <c r="I21" s="52">
        <f>'📥 MF Data Input'!P21</f>
        <v/>
      </c>
      <c r="J21" s="52">
        <f>IFERROR(IF('📥 MF Data Input'!I21="","N/A",'📥 MF Data Input'!O21-'📥 MF Data Input'!I21/100),"N/A")</f>
        <v/>
      </c>
      <c r="K21" s="65">
        <f>IFERROR(IF('📥 MF Data Input'!A21="","",IF('📥 MF Data Input'!O21&lt;0,"🔴 Negative Return",IF(AND('📥 MF Data Input'!I21&lt;&gt;"",'📥 MF Data Input'!O21&lt;'📥 MF Data Input'!I21/100),"🟡 Below Benchmark",IF('📥 MF Data Input'!O21&gt;0.15,"🟢 Outperforming","🔵 In Line")))),"")</f>
        <v/>
      </c>
      <c r="L21" s="66">
        <f>IFERROR(IF('📥 MF Data Input'!A21="","",IF('📥 MF Data Input'!O21&lt;0,"Negative returns — review fund; check if macro or fund-specific",IF(AND('📥 MF Data Input'!I21&lt;&gt;"",'📥 MF Data Input'!O21&lt;'📥 MF Data Input'!I21/100),"Lagging benchmark 2+ yrs? Consider switching to index fund",IF('📥 MF Data Input'!O21&gt;0.15,"Strong alpha — hold; consider increasing SIP","Continue SIP; review annually against benchmark")))),"")</f>
        <v/>
      </c>
    </row>
    <row r="22" ht="18" customHeight="1" s="82">
      <c r="A22" s="59">
        <f>'📥 MF Data Input'!A22</f>
        <v/>
      </c>
      <c r="B22" s="59">
        <f>'📥 MF Data Input'!B22</f>
        <v/>
      </c>
      <c r="C22" s="59">
        <f>'📥 MF Data Input'!C22</f>
        <v/>
      </c>
      <c r="D22" s="42">
        <f>'📥 MF Data Input'!K22</f>
        <v/>
      </c>
      <c r="E22" s="42">
        <f>'📥 MF Data Input'!L22</f>
        <v/>
      </c>
      <c r="F22" s="42">
        <f>'📥 MF Data Input'!M22</f>
        <v/>
      </c>
      <c r="G22" s="43">
        <f>'📥 MF Data Input'!N22</f>
        <v/>
      </c>
      <c r="H22" s="43">
        <f>'📥 MF Data Input'!O22</f>
        <v/>
      </c>
      <c r="I22" s="43">
        <f>'📥 MF Data Input'!P22</f>
        <v/>
      </c>
      <c r="J22" s="43">
        <f>IFERROR(IF('📥 MF Data Input'!I22="","N/A",'📥 MF Data Input'!O22-'📥 MF Data Input'!I22/100),"N/A")</f>
        <v/>
      </c>
      <c r="K22" s="61">
        <f>IFERROR(IF('📥 MF Data Input'!A22="","",IF('📥 MF Data Input'!O22&lt;0,"🔴 Negative Return",IF(AND('📥 MF Data Input'!I22&lt;&gt;"",'📥 MF Data Input'!O22&lt;'📥 MF Data Input'!I22/100),"🟡 Below Benchmark",IF('📥 MF Data Input'!O22&gt;0.15,"🟢 Outperforming","🔵 In Line")))),"")</f>
        <v/>
      </c>
      <c r="L22" s="62">
        <f>IFERROR(IF('📥 MF Data Input'!A22="","",IF('📥 MF Data Input'!O22&lt;0,"Negative returns — review fund; check if macro or fund-specific",IF(AND('📥 MF Data Input'!I22&lt;&gt;"",'📥 MF Data Input'!O22&lt;'📥 MF Data Input'!I22/100),"Lagging benchmark 2+ yrs? Consider switching to index fund",IF('📥 MF Data Input'!O22&gt;0.15,"Strong alpha — hold; consider increasing SIP","Continue SIP; review annually against benchmark")))),"")</f>
        <v/>
      </c>
    </row>
    <row r="23" ht="18" customHeight="1" s="82">
      <c r="A23" s="63">
        <f>'📥 MF Data Input'!A23</f>
        <v/>
      </c>
      <c r="B23" s="63">
        <f>'📥 MF Data Input'!B23</f>
        <v/>
      </c>
      <c r="C23" s="63">
        <f>'📥 MF Data Input'!C23</f>
        <v/>
      </c>
      <c r="D23" s="51">
        <f>'📥 MF Data Input'!K23</f>
        <v/>
      </c>
      <c r="E23" s="51">
        <f>'📥 MF Data Input'!L23</f>
        <v/>
      </c>
      <c r="F23" s="51">
        <f>'📥 MF Data Input'!M23</f>
        <v/>
      </c>
      <c r="G23" s="52">
        <f>'📥 MF Data Input'!N23</f>
        <v/>
      </c>
      <c r="H23" s="52">
        <f>'📥 MF Data Input'!O23</f>
        <v/>
      </c>
      <c r="I23" s="52">
        <f>'📥 MF Data Input'!P23</f>
        <v/>
      </c>
      <c r="J23" s="52">
        <f>IFERROR(IF('📥 MF Data Input'!I23="","N/A",'📥 MF Data Input'!O23-'📥 MF Data Input'!I23/100),"N/A")</f>
        <v/>
      </c>
      <c r="K23" s="65">
        <f>IFERROR(IF('📥 MF Data Input'!A23="","",IF('📥 MF Data Input'!O23&lt;0,"🔴 Negative Return",IF(AND('📥 MF Data Input'!I23&lt;&gt;"",'📥 MF Data Input'!O23&lt;'📥 MF Data Input'!I23/100),"🟡 Below Benchmark",IF('📥 MF Data Input'!O23&gt;0.15,"🟢 Outperforming","🔵 In Line")))),"")</f>
        <v/>
      </c>
      <c r="L23" s="66">
        <f>IFERROR(IF('📥 MF Data Input'!A23="","",IF('📥 MF Data Input'!O23&lt;0,"Negative returns — review fund; check if macro or fund-specific",IF(AND('📥 MF Data Input'!I23&lt;&gt;"",'📥 MF Data Input'!O23&lt;'📥 MF Data Input'!I23/100),"Lagging benchmark 2+ yrs? Consider switching to index fund",IF('📥 MF Data Input'!O23&gt;0.15,"Strong alpha — hold; consider increasing SIP","Continue SIP; review annually against benchmark")))),"")</f>
        <v/>
      </c>
    </row>
    <row r="24" ht="18" customHeight="1" s="82">
      <c r="A24" s="59">
        <f>'📥 MF Data Input'!A24</f>
        <v/>
      </c>
      <c r="B24" s="59">
        <f>'📥 MF Data Input'!B24</f>
        <v/>
      </c>
      <c r="C24" s="59">
        <f>'📥 MF Data Input'!C24</f>
        <v/>
      </c>
      <c r="D24" s="42">
        <f>'📥 MF Data Input'!K24</f>
        <v/>
      </c>
      <c r="E24" s="42">
        <f>'📥 MF Data Input'!L24</f>
        <v/>
      </c>
      <c r="F24" s="42">
        <f>'📥 MF Data Input'!M24</f>
        <v/>
      </c>
      <c r="G24" s="43">
        <f>'📥 MF Data Input'!N24</f>
        <v/>
      </c>
      <c r="H24" s="43">
        <f>'📥 MF Data Input'!O24</f>
        <v/>
      </c>
      <c r="I24" s="43">
        <f>'📥 MF Data Input'!P24</f>
        <v/>
      </c>
      <c r="J24" s="43">
        <f>IFERROR(IF('📥 MF Data Input'!I24="","N/A",'📥 MF Data Input'!O24-'📥 MF Data Input'!I24/100),"N/A")</f>
        <v/>
      </c>
      <c r="K24" s="61">
        <f>IFERROR(IF('📥 MF Data Input'!A24="","",IF('📥 MF Data Input'!O24&lt;0,"🔴 Negative Return",IF(AND('📥 MF Data Input'!I24&lt;&gt;"",'📥 MF Data Input'!O24&lt;'📥 MF Data Input'!I24/100),"🟡 Below Benchmark",IF('📥 MF Data Input'!O24&gt;0.15,"🟢 Outperforming","🔵 In Line")))),"")</f>
        <v/>
      </c>
      <c r="L24" s="62">
        <f>IFERROR(IF('📥 MF Data Input'!A24="","",IF('📥 MF Data Input'!O24&lt;0,"Negative returns — review fund; check if macro or fund-specific",IF(AND('📥 MF Data Input'!I24&lt;&gt;"",'📥 MF Data Input'!O24&lt;'📥 MF Data Input'!I24/100),"Lagging benchmark 2+ yrs? Consider switching to index fund",IF('📥 MF Data Input'!O24&gt;0.15,"Strong alpha — hold; consider increasing SIP","Continue SIP; review annually against benchmark")))),"")</f>
        <v/>
      </c>
    </row>
    <row r="25" ht="18" customHeight="1" s="82">
      <c r="A25" s="63">
        <f>'📥 MF Data Input'!A25</f>
        <v/>
      </c>
      <c r="B25" s="63">
        <f>'📥 MF Data Input'!B25</f>
        <v/>
      </c>
      <c r="C25" s="63">
        <f>'📥 MF Data Input'!C25</f>
        <v/>
      </c>
      <c r="D25" s="51">
        <f>'📥 MF Data Input'!K25</f>
        <v/>
      </c>
      <c r="E25" s="51">
        <f>'📥 MF Data Input'!L25</f>
        <v/>
      </c>
      <c r="F25" s="51">
        <f>'📥 MF Data Input'!M25</f>
        <v/>
      </c>
      <c r="G25" s="52">
        <f>'📥 MF Data Input'!N25</f>
        <v/>
      </c>
      <c r="H25" s="52">
        <f>'📥 MF Data Input'!O25</f>
        <v/>
      </c>
      <c r="I25" s="52">
        <f>'📥 MF Data Input'!P25</f>
        <v/>
      </c>
      <c r="J25" s="52">
        <f>IFERROR(IF('📥 MF Data Input'!I25="","N/A",'📥 MF Data Input'!O25-'📥 MF Data Input'!I25/100),"N/A")</f>
        <v/>
      </c>
      <c r="K25" s="65">
        <f>IFERROR(IF('📥 MF Data Input'!A25="","",IF('📥 MF Data Input'!O25&lt;0,"🔴 Negative Return",IF(AND('📥 MF Data Input'!I25&lt;&gt;"",'📥 MF Data Input'!O25&lt;'📥 MF Data Input'!I25/100),"🟡 Below Benchmark",IF('📥 MF Data Input'!O25&gt;0.15,"🟢 Outperforming","🔵 In Line")))),"")</f>
        <v/>
      </c>
      <c r="L25" s="66">
        <f>IFERROR(IF('📥 MF Data Input'!A25="","",IF('📥 MF Data Input'!O25&lt;0,"Negative returns — review fund; check if macro or fund-specific",IF(AND('📥 MF Data Input'!I25&lt;&gt;"",'📥 MF Data Input'!O25&lt;'📥 MF Data Input'!I25/100),"Lagging benchmark 2+ yrs? Consider switching to index fund",IF('📥 MF Data Input'!O25&gt;0.15,"Strong alpha — hold; consider increasing SIP","Continue SIP; review annually against benchmark")))),"")</f>
        <v/>
      </c>
    </row>
    <row r="26" ht="18" customHeight="1" s="82">
      <c r="A26" s="59">
        <f>'📥 MF Data Input'!A26</f>
        <v/>
      </c>
      <c r="B26" s="59">
        <f>'📥 MF Data Input'!B26</f>
        <v/>
      </c>
      <c r="C26" s="59">
        <f>'📥 MF Data Input'!C26</f>
        <v/>
      </c>
      <c r="D26" s="42">
        <f>'📥 MF Data Input'!K26</f>
        <v/>
      </c>
      <c r="E26" s="42">
        <f>'📥 MF Data Input'!L26</f>
        <v/>
      </c>
      <c r="F26" s="42">
        <f>'📥 MF Data Input'!M26</f>
        <v/>
      </c>
      <c r="G26" s="43">
        <f>'📥 MF Data Input'!N26</f>
        <v/>
      </c>
      <c r="H26" s="43">
        <f>'📥 MF Data Input'!O26</f>
        <v/>
      </c>
      <c r="I26" s="43">
        <f>'📥 MF Data Input'!P26</f>
        <v/>
      </c>
      <c r="J26" s="43">
        <f>IFERROR(IF('📥 MF Data Input'!I26="","N/A",'📥 MF Data Input'!O26-'📥 MF Data Input'!I26/100),"N/A")</f>
        <v/>
      </c>
      <c r="K26" s="61">
        <f>IFERROR(IF('📥 MF Data Input'!A26="","",IF('📥 MF Data Input'!O26&lt;0,"🔴 Negative Return",IF(AND('📥 MF Data Input'!I26&lt;&gt;"",'📥 MF Data Input'!O26&lt;'📥 MF Data Input'!I26/100),"🟡 Below Benchmark",IF('📥 MF Data Input'!O26&gt;0.15,"🟢 Outperforming","🔵 In Line")))),"")</f>
        <v/>
      </c>
      <c r="L26" s="62">
        <f>IFERROR(IF('📥 MF Data Input'!A26="","",IF('📥 MF Data Input'!O26&lt;0,"Negative returns — review fund; check if macro or fund-specific",IF(AND('📥 MF Data Input'!I26&lt;&gt;"",'📥 MF Data Input'!O26&lt;'📥 MF Data Input'!I26/100),"Lagging benchmark 2+ yrs? Consider switching to index fund",IF('📥 MF Data Input'!O26&gt;0.15,"Strong alpha — hold; consider increasing SIP","Continue SIP; review annually against benchmark")))),"")</f>
        <v/>
      </c>
    </row>
    <row r="27" ht="18" customHeight="1" s="82">
      <c r="A27" s="63">
        <f>'📥 MF Data Input'!A27</f>
        <v/>
      </c>
      <c r="B27" s="63">
        <f>'📥 MF Data Input'!B27</f>
        <v/>
      </c>
      <c r="C27" s="63">
        <f>'📥 MF Data Input'!C27</f>
        <v/>
      </c>
      <c r="D27" s="51">
        <f>'📥 MF Data Input'!K27</f>
        <v/>
      </c>
      <c r="E27" s="51">
        <f>'📥 MF Data Input'!L27</f>
        <v/>
      </c>
      <c r="F27" s="51">
        <f>'📥 MF Data Input'!M27</f>
        <v/>
      </c>
      <c r="G27" s="52">
        <f>'📥 MF Data Input'!N27</f>
        <v/>
      </c>
      <c r="H27" s="52">
        <f>'📥 MF Data Input'!O27</f>
        <v/>
      </c>
      <c r="I27" s="52">
        <f>'📥 MF Data Input'!P27</f>
        <v/>
      </c>
      <c r="J27" s="52">
        <f>IFERROR(IF('📥 MF Data Input'!I27="","N/A",'📥 MF Data Input'!O27-'📥 MF Data Input'!I27/100),"N/A")</f>
        <v/>
      </c>
      <c r="K27" s="65">
        <f>IFERROR(IF('📥 MF Data Input'!A27="","",IF('📥 MF Data Input'!O27&lt;0,"🔴 Negative Return",IF(AND('📥 MF Data Input'!I27&lt;&gt;"",'📥 MF Data Input'!O27&lt;'📥 MF Data Input'!I27/100),"🟡 Below Benchmark",IF('📥 MF Data Input'!O27&gt;0.15,"🟢 Outperforming","🔵 In Line")))),"")</f>
        <v/>
      </c>
      <c r="L27" s="66">
        <f>IFERROR(IF('📥 MF Data Input'!A27="","",IF('📥 MF Data Input'!O27&lt;0,"Negative returns — review fund; check if macro or fund-specific",IF(AND('📥 MF Data Input'!I27&lt;&gt;"",'📥 MF Data Input'!O27&lt;'📥 MF Data Input'!I27/100),"Lagging benchmark 2+ yrs? Consider switching to index fund",IF('📥 MF Data Input'!O27&gt;0.15,"Strong alpha — hold; consider increasing SIP","Continue SIP; review annually against benchmark")))),"")</f>
        <v/>
      </c>
    </row>
    <row r="28" ht="18" customHeight="1" s="82">
      <c r="A28" s="59">
        <f>'📥 MF Data Input'!A28</f>
        <v/>
      </c>
      <c r="B28" s="59">
        <f>'📥 MF Data Input'!B28</f>
        <v/>
      </c>
      <c r="C28" s="59">
        <f>'📥 MF Data Input'!C28</f>
        <v/>
      </c>
      <c r="D28" s="42">
        <f>'📥 MF Data Input'!K28</f>
        <v/>
      </c>
      <c r="E28" s="42">
        <f>'📥 MF Data Input'!L28</f>
        <v/>
      </c>
      <c r="F28" s="42">
        <f>'📥 MF Data Input'!M28</f>
        <v/>
      </c>
      <c r="G28" s="43">
        <f>'📥 MF Data Input'!N28</f>
        <v/>
      </c>
      <c r="H28" s="43">
        <f>'📥 MF Data Input'!O28</f>
        <v/>
      </c>
      <c r="I28" s="43">
        <f>'📥 MF Data Input'!P28</f>
        <v/>
      </c>
      <c r="J28" s="43">
        <f>IFERROR(IF('📥 MF Data Input'!I28="","N/A",'📥 MF Data Input'!O28-'📥 MF Data Input'!I28/100),"N/A")</f>
        <v/>
      </c>
      <c r="K28" s="61">
        <f>IFERROR(IF('📥 MF Data Input'!A28="","",IF('📥 MF Data Input'!O28&lt;0,"🔴 Negative Return",IF(AND('📥 MF Data Input'!I28&lt;&gt;"",'📥 MF Data Input'!O28&lt;'📥 MF Data Input'!I28/100),"🟡 Below Benchmark",IF('📥 MF Data Input'!O28&gt;0.15,"🟢 Outperforming","🔵 In Line")))),"")</f>
        <v/>
      </c>
      <c r="L28" s="62">
        <f>IFERROR(IF('📥 MF Data Input'!A28="","",IF('📥 MF Data Input'!O28&lt;0,"Negative returns — review fund; check if macro or fund-specific",IF(AND('📥 MF Data Input'!I28&lt;&gt;"",'📥 MF Data Input'!O28&lt;'📥 MF Data Input'!I28/100),"Lagging benchmark 2+ yrs? Consider switching to index fund",IF('📥 MF Data Input'!O28&gt;0.15,"Strong alpha — hold; consider increasing SIP","Continue SIP; review annually against benchmark")))),"")</f>
        <v/>
      </c>
    </row>
    <row r="29" ht="18" customHeight="1" s="82">
      <c r="A29" s="63">
        <f>'📥 MF Data Input'!A29</f>
        <v/>
      </c>
      <c r="B29" s="63">
        <f>'📥 MF Data Input'!B29</f>
        <v/>
      </c>
      <c r="C29" s="63">
        <f>'📥 MF Data Input'!C29</f>
        <v/>
      </c>
      <c r="D29" s="51">
        <f>'📥 MF Data Input'!K29</f>
        <v/>
      </c>
      <c r="E29" s="51">
        <f>'📥 MF Data Input'!L29</f>
        <v/>
      </c>
      <c r="F29" s="51">
        <f>'📥 MF Data Input'!M29</f>
        <v/>
      </c>
      <c r="G29" s="52">
        <f>'📥 MF Data Input'!N29</f>
        <v/>
      </c>
      <c r="H29" s="52">
        <f>'📥 MF Data Input'!O29</f>
        <v/>
      </c>
      <c r="I29" s="52">
        <f>'📥 MF Data Input'!P29</f>
        <v/>
      </c>
      <c r="J29" s="52">
        <f>IFERROR(IF('📥 MF Data Input'!I29="","N/A",'📥 MF Data Input'!O29-'📥 MF Data Input'!I29/100),"N/A")</f>
        <v/>
      </c>
      <c r="K29" s="65">
        <f>IFERROR(IF('📥 MF Data Input'!A29="","",IF('📥 MF Data Input'!O29&lt;0,"🔴 Negative Return",IF(AND('📥 MF Data Input'!I29&lt;&gt;"",'📥 MF Data Input'!O29&lt;'📥 MF Data Input'!I29/100),"🟡 Below Benchmark",IF('📥 MF Data Input'!O29&gt;0.15,"🟢 Outperforming","🔵 In Line")))),"")</f>
        <v/>
      </c>
      <c r="L29" s="66">
        <f>IFERROR(IF('📥 MF Data Input'!A29="","",IF('📥 MF Data Input'!O29&lt;0,"Negative returns — review fund; check if macro or fund-specific",IF(AND('📥 MF Data Input'!I29&lt;&gt;"",'📥 MF Data Input'!O29&lt;'📥 MF Data Input'!I29/100),"Lagging benchmark 2+ yrs? Consider switching to index fund",IF('📥 MF Data Input'!O29&gt;0.15,"Strong alpha — hold; consider increasing SIP","Continue SIP; review annually against benchmark")))),"")</f>
        <v/>
      </c>
    </row>
    <row r="30" ht="18" customHeight="1" s="82">
      <c r="A30" s="59">
        <f>'📥 MF Data Input'!A30</f>
        <v/>
      </c>
      <c r="B30" s="59">
        <f>'📥 MF Data Input'!B30</f>
        <v/>
      </c>
      <c r="C30" s="59">
        <f>'📥 MF Data Input'!C30</f>
        <v/>
      </c>
      <c r="D30" s="42">
        <f>'📥 MF Data Input'!K30</f>
        <v/>
      </c>
      <c r="E30" s="42">
        <f>'📥 MF Data Input'!L30</f>
        <v/>
      </c>
      <c r="F30" s="42">
        <f>'📥 MF Data Input'!M30</f>
        <v/>
      </c>
      <c r="G30" s="43">
        <f>'📥 MF Data Input'!N30</f>
        <v/>
      </c>
      <c r="H30" s="43">
        <f>'📥 MF Data Input'!O30</f>
        <v/>
      </c>
      <c r="I30" s="43">
        <f>'📥 MF Data Input'!P30</f>
        <v/>
      </c>
      <c r="J30" s="43">
        <f>IFERROR(IF('📥 MF Data Input'!I30="","N/A",'📥 MF Data Input'!O30-'📥 MF Data Input'!I30/100),"N/A")</f>
        <v/>
      </c>
      <c r="K30" s="61">
        <f>IFERROR(IF('📥 MF Data Input'!A30="","",IF('📥 MF Data Input'!O30&lt;0,"🔴 Negative Return",IF(AND('📥 MF Data Input'!I30&lt;&gt;"",'📥 MF Data Input'!O30&lt;'📥 MF Data Input'!I30/100),"🟡 Below Benchmark",IF('📥 MF Data Input'!O30&gt;0.15,"🟢 Outperforming","🔵 In Line")))),"")</f>
        <v/>
      </c>
      <c r="L30" s="62">
        <f>IFERROR(IF('📥 MF Data Input'!A30="","",IF('📥 MF Data Input'!O30&lt;0,"Negative returns — review fund; check if macro or fund-specific",IF(AND('📥 MF Data Input'!I30&lt;&gt;"",'📥 MF Data Input'!O30&lt;'📥 MF Data Input'!I30/100),"Lagging benchmark 2+ yrs? Consider switching to index fund",IF('📥 MF Data Input'!O30&gt;0.15,"Strong alpha — hold; consider increasing SIP","Continue SIP; review annually against benchmark")))),"")</f>
        <v/>
      </c>
    </row>
    <row r="31" ht="18" customHeight="1" s="82">
      <c r="A31" s="63">
        <f>'📥 MF Data Input'!A31</f>
        <v/>
      </c>
      <c r="B31" s="63">
        <f>'📥 MF Data Input'!B31</f>
        <v/>
      </c>
      <c r="C31" s="63">
        <f>'📥 MF Data Input'!C31</f>
        <v/>
      </c>
      <c r="D31" s="51">
        <f>'📥 MF Data Input'!K31</f>
        <v/>
      </c>
      <c r="E31" s="51">
        <f>'📥 MF Data Input'!L31</f>
        <v/>
      </c>
      <c r="F31" s="51">
        <f>'📥 MF Data Input'!M31</f>
        <v/>
      </c>
      <c r="G31" s="52">
        <f>'📥 MF Data Input'!N31</f>
        <v/>
      </c>
      <c r="H31" s="52">
        <f>'📥 MF Data Input'!O31</f>
        <v/>
      </c>
      <c r="I31" s="52">
        <f>'📥 MF Data Input'!P31</f>
        <v/>
      </c>
      <c r="J31" s="52">
        <f>IFERROR(IF('📥 MF Data Input'!I31="","N/A",'📥 MF Data Input'!O31-'📥 MF Data Input'!I31/100),"N/A")</f>
        <v/>
      </c>
      <c r="K31" s="65">
        <f>IFERROR(IF('📥 MF Data Input'!A31="","",IF('📥 MF Data Input'!O31&lt;0,"🔴 Negative Return",IF(AND('📥 MF Data Input'!I31&lt;&gt;"",'📥 MF Data Input'!O31&lt;'📥 MF Data Input'!I31/100),"🟡 Below Benchmark",IF('📥 MF Data Input'!O31&gt;0.15,"🟢 Outperforming","🔵 In Line")))),"")</f>
        <v/>
      </c>
      <c r="L31" s="66">
        <f>IFERROR(IF('📥 MF Data Input'!A31="","",IF('📥 MF Data Input'!O31&lt;0,"Negative returns — review fund; check if macro or fund-specific",IF(AND('📥 MF Data Input'!I31&lt;&gt;"",'📥 MF Data Input'!O31&lt;'📥 MF Data Input'!I31/100),"Lagging benchmark 2+ yrs? Consider switching to index fund",IF('📥 MF Data Input'!O31&gt;0.15,"Strong alpha — hold; consider increasing SIP","Continue SIP; review annually against benchmark")))),"")</f>
        <v/>
      </c>
    </row>
    <row r="32" ht="18" customHeight="1" s="82">
      <c r="A32" s="59">
        <f>'📥 MF Data Input'!A32</f>
        <v/>
      </c>
      <c r="B32" s="59">
        <f>'📥 MF Data Input'!B32</f>
        <v/>
      </c>
      <c r="C32" s="59">
        <f>'📥 MF Data Input'!C32</f>
        <v/>
      </c>
      <c r="D32" s="42">
        <f>'📥 MF Data Input'!K32</f>
        <v/>
      </c>
      <c r="E32" s="42">
        <f>'📥 MF Data Input'!L32</f>
        <v/>
      </c>
      <c r="F32" s="42">
        <f>'📥 MF Data Input'!M32</f>
        <v/>
      </c>
      <c r="G32" s="43">
        <f>'📥 MF Data Input'!N32</f>
        <v/>
      </c>
      <c r="H32" s="43">
        <f>'📥 MF Data Input'!O32</f>
        <v/>
      </c>
      <c r="I32" s="43">
        <f>'📥 MF Data Input'!P32</f>
        <v/>
      </c>
      <c r="J32" s="43">
        <f>IFERROR(IF('📥 MF Data Input'!I32="","N/A",'📥 MF Data Input'!O32-'📥 MF Data Input'!I32/100),"N/A")</f>
        <v/>
      </c>
      <c r="K32" s="61">
        <f>IFERROR(IF('📥 MF Data Input'!A32="","",IF('📥 MF Data Input'!O32&lt;0,"🔴 Negative Return",IF(AND('📥 MF Data Input'!I32&lt;&gt;"",'📥 MF Data Input'!O32&lt;'📥 MF Data Input'!I32/100),"🟡 Below Benchmark",IF('📥 MF Data Input'!O32&gt;0.15,"🟢 Outperforming","🔵 In Line")))),"")</f>
        <v/>
      </c>
      <c r="L32" s="62">
        <f>IFERROR(IF('📥 MF Data Input'!A32="","",IF('📥 MF Data Input'!O32&lt;0,"Negative returns — review fund; check if macro or fund-specific",IF(AND('📥 MF Data Input'!I32&lt;&gt;"",'📥 MF Data Input'!O32&lt;'📥 MF Data Input'!I32/100),"Lagging benchmark 2+ yrs? Consider switching to index fund",IF('📥 MF Data Input'!O32&gt;0.15,"Strong alpha — hold; consider increasing SIP","Continue SIP; review annually against benchmark")))),"")</f>
        <v/>
      </c>
    </row>
    <row r="33" ht="18" customHeight="1" s="82">
      <c r="A33" s="63">
        <f>'📥 MF Data Input'!A33</f>
        <v/>
      </c>
      <c r="B33" s="63">
        <f>'📥 MF Data Input'!B33</f>
        <v/>
      </c>
      <c r="C33" s="63">
        <f>'📥 MF Data Input'!C33</f>
        <v/>
      </c>
      <c r="D33" s="51">
        <f>'📥 MF Data Input'!K33</f>
        <v/>
      </c>
      <c r="E33" s="51">
        <f>'📥 MF Data Input'!L33</f>
        <v/>
      </c>
      <c r="F33" s="51">
        <f>'📥 MF Data Input'!M33</f>
        <v/>
      </c>
      <c r="G33" s="52">
        <f>'📥 MF Data Input'!N33</f>
        <v/>
      </c>
      <c r="H33" s="52">
        <f>'📥 MF Data Input'!O33</f>
        <v/>
      </c>
      <c r="I33" s="52">
        <f>'📥 MF Data Input'!P33</f>
        <v/>
      </c>
      <c r="J33" s="52">
        <f>IFERROR(IF('📥 MF Data Input'!I33="","N/A",'📥 MF Data Input'!O33-'📥 MF Data Input'!I33/100),"N/A")</f>
        <v/>
      </c>
      <c r="K33" s="65">
        <f>IFERROR(IF('📥 MF Data Input'!A33="","",IF('📥 MF Data Input'!O33&lt;0,"🔴 Negative Return",IF(AND('📥 MF Data Input'!I33&lt;&gt;"",'📥 MF Data Input'!O33&lt;'📥 MF Data Input'!I33/100),"🟡 Below Benchmark",IF('📥 MF Data Input'!O33&gt;0.15,"🟢 Outperforming","🔵 In Line")))),"")</f>
        <v/>
      </c>
      <c r="L33" s="66">
        <f>IFERROR(IF('📥 MF Data Input'!A33="","",IF('📥 MF Data Input'!O33&lt;0,"Negative returns — review fund; check if macro or fund-specific",IF(AND('📥 MF Data Input'!I33&lt;&gt;"",'📥 MF Data Input'!O33&lt;'📥 MF Data Input'!I33/100),"Lagging benchmark 2+ yrs? Consider switching to index fund",IF('📥 MF Data Input'!O33&gt;0.15,"Strong alpha — hold; consider increasing SIP","Continue SIP; review annually against benchmark")))),"")</f>
        <v/>
      </c>
    </row>
    <row r="34" ht="18" customHeight="1" s="82">
      <c r="A34" s="59">
        <f>'📥 MF Data Input'!A34</f>
        <v/>
      </c>
      <c r="B34" s="59">
        <f>'📥 MF Data Input'!B34</f>
        <v/>
      </c>
      <c r="C34" s="59">
        <f>'📥 MF Data Input'!C34</f>
        <v/>
      </c>
      <c r="D34" s="42">
        <f>'📥 MF Data Input'!K34</f>
        <v/>
      </c>
      <c r="E34" s="42">
        <f>'📥 MF Data Input'!L34</f>
        <v/>
      </c>
      <c r="F34" s="42">
        <f>'📥 MF Data Input'!M34</f>
        <v/>
      </c>
      <c r="G34" s="43">
        <f>'📥 MF Data Input'!N34</f>
        <v/>
      </c>
      <c r="H34" s="43">
        <f>'📥 MF Data Input'!O34</f>
        <v/>
      </c>
      <c r="I34" s="43">
        <f>'📥 MF Data Input'!P34</f>
        <v/>
      </c>
      <c r="J34" s="43">
        <f>IFERROR(IF('📥 MF Data Input'!I34="","N/A",'📥 MF Data Input'!O34-'📥 MF Data Input'!I34/100),"N/A")</f>
        <v/>
      </c>
      <c r="K34" s="61">
        <f>IFERROR(IF('📥 MF Data Input'!A34="","",IF('📥 MF Data Input'!O34&lt;0,"🔴 Negative Return",IF(AND('📥 MF Data Input'!I34&lt;&gt;"",'📥 MF Data Input'!O34&lt;'📥 MF Data Input'!I34/100),"🟡 Below Benchmark",IF('📥 MF Data Input'!O34&gt;0.15,"🟢 Outperforming","🔵 In Line")))),"")</f>
        <v/>
      </c>
      <c r="L34" s="62">
        <f>IFERROR(IF('📥 MF Data Input'!A34="","",IF('📥 MF Data Input'!O34&lt;0,"Negative returns — review fund; check if macro or fund-specific",IF(AND('📥 MF Data Input'!I34&lt;&gt;"",'📥 MF Data Input'!O34&lt;'📥 MF Data Input'!I34/100),"Lagging benchmark 2+ yrs? Consider switching to index fund",IF('📥 MF Data Input'!O34&gt;0.15,"Strong alpha — hold; consider increasing SIP","Continue SIP; review annually against benchmark")))),"")</f>
        <v/>
      </c>
    </row>
    <row r="35" ht="18" customHeight="1" s="82">
      <c r="A35" s="63">
        <f>'📥 MF Data Input'!A35</f>
        <v/>
      </c>
      <c r="B35" s="63">
        <f>'📥 MF Data Input'!B35</f>
        <v/>
      </c>
      <c r="C35" s="63">
        <f>'📥 MF Data Input'!C35</f>
        <v/>
      </c>
      <c r="D35" s="51">
        <f>'📥 MF Data Input'!K35</f>
        <v/>
      </c>
      <c r="E35" s="51">
        <f>'📥 MF Data Input'!L35</f>
        <v/>
      </c>
      <c r="F35" s="51">
        <f>'📥 MF Data Input'!M35</f>
        <v/>
      </c>
      <c r="G35" s="52">
        <f>'📥 MF Data Input'!N35</f>
        <v/>
      </c>
      <c r="H35" s="52">
        <f>'📥 MF Data Input'!O35</f>
        <v/>
      </c>
      <c r="I35" s="52">
        <f>'📥 MF Data Input'!P35</f>
        <v/>
      </c>
      <c r="J35" s="52">
        <f>IFERROR(IF('📥 MF Data Input'!I35="","N/A",'📥 MF Data Input'!O35-'📥 MF Data Input'!I35/100),"N/A")</f>
        <v/>
      </c>
      <c r="K35" s="65">
        <f>IFERROR(IF('📥 MF Data Input'!A35="","",IF('📥 MF Data Input'!O35&lt;0,"🔴 Negative Return",IF(AND('📥 MF Data Input'!I35&lt;&gt;"",'📥 MF Data Input'!O35&lt;'📥 MF Data Input'!I35/100),"🟡 Below Benchmark",IF('📥 MF Data Input'!O35&gt;0.15,"🟢 Outperforming","🔵 In Line")))),"")</f>
        <v/>
      </c>
      <c r="L35" s="66">
        <f>IFERROR(IF('📥 MF Data Input'!A35="","",IF('📥 MF Data Input'!O35&lt;0,"Negative returns — review fund; check if macro or fund-specific",IF(AND('📥 MF Data Input'!I35&lt;&gt;"",'📥 MF Data Input'!O35&lt;'📥 MF Data Input'!I35/100),"Lagging benchmark 2+ yrs? Consider switching to index fund",IF('📥 MF Data Input'!O35&gt;0.15,"Strong alpha — hold; consider increasing SIP","Continue SIP; review annually against benchmark")))),"")</f>
        <v/>
      </c>
    </row>
    <row r="36" ht="18" customHeight="1" s="82">
      <c r="A36" s="59">
        <f>'📥 MF Data Input'!A36</f>
        <v/>
      </c>
      <c r="B36" s="59">
        <f>'📥 MF Data Input'!B36</f>
        <v/>
      </c>
      <c r="C36" s="59">
        <f>'📥 MF Data Input'!C36</f>
        <v/>
      </c>
      <c r="D36" s="42">
        <f>'📥 MF Data Input'!K36</f>
        <v/>
      </c>
      <c r="E36" s="42">
        <f>'📥 MF Data Input'!L36</f>
        <v/>
      </c>
      <c r="F36" s="42">
        <f>'📥 MF Data Input'!M36</f>
        <v/>
      </c>
      <c r="G36" s="43">
        <f>'📥 MF Data Input'!N36</f>
        <v/>
      </c>
      <c r="H36" s="43">
        <f>'📥 MF Data Input'!O36</f>
        <v/>
      </c>
      <c r="I36" s="43">
        <f>'📥 MF Data Input'!P36</f>
        <v/>
      </c>
      <c r="J36" s="43">
        <f>IFERROR(IF('📥 MF Data Input'!I36="","N/A",'📥 MF Data Input'!O36-'📥 MF Data Input'!I36/100),"N/A")</f>
        <v/>
      </c>
      <c r="K36" s="61">
        <f>IFERROR(IF('📥 MF Data Input'!A36="","",IF('📥 MF Data Input'!O36&lt;0,"🔴 Negative Return",IF(AND('📥 MF Data Input'!I36&lt;&gt;"",'📥 MF Data Input'!O36&lt;'📥 MF Data Input'!I36/100),"🟡 Below Benchmark",IF('📥 MF Data Input'!O36&gt;0.15,"🟢 Outperforming","🔵 In Line")))),"")</f>
        <v/>
      </c>
      <c r="L36" s="62">
        <f>IFERROR(IF('📥 MF Data Input'!A36="","",IF('📥 MF Data Input'!O36&lt;0,"Negative returns — review fund; check if macro or fund-specific",IF(AND('📥 MF Data Input'!I36&lt;&gt;"",'📥 MF Data Input'!O36&lt;'📥 MF Data Input'!I36/100),"Lagging benchmark 2+ yrs? Consider switching to index fund",IF('📥 MF Data Input'!O36&gt;0.15,"Strong alpha — hold; consider increasing SIP","Continue SIP; review annually against benchmark")))),"")</f>
        <v/>
      </c>
    </row>
    <row r="37" ht="18" customHeight="1" s="82">
      <c r="A37" s="63">
        <f>'📥 MF Data Input'!A37</f>
        <v/>
      </c>
      <c r="B37" s="63">
        <f>'📥 MF Data Input'!B37</f>
        <v/>
      </c>
      <c r="C37" s="63">
        <f>'📥 MF Data Input'!C37</f>
        <v/>
      </c>
      <c r="D37" s="51">
        <f>'📥 MF Data Input'!K37</f>
        <v/>
      </c>
      <c r="E37" s="51">
        <f>'📥 MF Data Input'!L37</f>
        <v/>
      </c>
      <c r="F37" s="51">
        <f>'📥 MF Data Input'!M37</f>
        <v/>
      </c>
      <c r="G37" s="52">
        <f>'📥 MF Data Input'!N37</f>
        <v/>
      </c>
      <c r="H37" s="52">
        <f>'📥 MF Data Input'!O37</f>
        <v/>
      </c>
      <c r="I37" s="52">
        <f>'📥 MF Data Input'!P37</f>
        <v/>
      </c>
      <c r="J37" s="52">
        <f>IFERROR(IF('📥 MF Data Input'!I37="","N/A",'📥 MF Data Input'!O37-'📥 MF Data Input'!I37/100),"N/A")</f>
        <v/>
      </c>
      <c r="K37" s="65">
        <f>IFERROR(IF('📥 MF Data Input'!A37="","",IF('📥 MF Data Input'!O37&lt;0,"🔴 Negative Return",IF(AND('📥 MF Data Input'!I37&lt;&gt;"",'📥 MF Data Input'!O37&lt;'📥 MF Data Input'!I37/100),"🟡 Below Benchmark",IF('📥 MF Data Input'!O37&gt;0.15,"🟢 Outperforming","🔵 In Line")))),"")</f>
        <v/>
      </c>
      <c r="L37" s="66">
        <f>IFERROR(IF('📥 MF Data Input'!A37="","",IF('📥 MF Data Input'!O37&lt;0,"Negative returns — review fund; check if macro or fund-specific",IF(AND('📥 MF Data Input'!I37&lt;&gt;"",'📥 MF Data Input'!O37&lt;'📥 MF Data Input'!I37/100),"Lagging benchmark 2+ yrs? Consider switching to index fund",IF('📥 MF Data Input'!O37&gt;0.15,"Strong alpha — hold; consider increasing SIP","Continue SIP; review annually against benchmark")))),"")</f>
        <v/>
      </c>
    </row>
    <row r="38" ht="18" customHeight="1" s="82">
      <c r="A38" s="59">
        <f>'📥 MF Data Input'!A38</f>
        <v/>
      </c>
      <c r="B38" s="59">
        <f>'📥 MF Data Input'!B38</f>
        <v/>
      </c>
      <c r="C38" s="59">
        <f>'📥 MF Data Input'!C38</f>
        <v/>
      </c>
      <c r="D38" s="42">
        <f>'📥 MF Data Input'!K38</f>
        <v/>
      </c>
      <c r="E38" s="42">
        <f>'📥 MF Data Input'!L38</f>
        <v/>
      </c>
      <c r="F38" s="42">
        <f>'📥 MF Data Input'!M38</f>
        <v/>
      </c>
      <c r="G38" s="43">
        <f>'📥 MF Data Input'!N38</f>
        <v/>
      </c>
      <c r="H38" s="43">
        <f>'📥 MF Data Input'!O38</f>
        <v/>
      </c>
      <c r="I38" s="43">
        <f>'📥 MF Data Input'!P38</f>
        <v/>
      </c>
      <c r="J38" s="43">
        <f>IFERROR(IF('📥 MF Data Input'!I38="","N/A",'📥 MF Data Input'!O38-'📥 MF Data Input'!I38/100),"N/A")</f>
        <v/>
      </c>
      <c r="K38" s="61">
        <f>IFERROR(IF('📥 MF Data Input'!A38="","",IF('📥 MF Data Input'!O38&lt;0,"🔴 Negative Return",IF(AND('📥 MF Data Input'!I38&lt;&gt;"",'📥 MF Data Input'!O38&lt;'📥 MF Data Input'!I38/100),"🟡 Below Benchmark",IF('📥 MF Data Input'!O38&gt;0.15,"🟢 Outperforming","🔵 In Line")))),"")</f>
        <v/>
      </c>
      <c r="L38" s="62">
        <f>IFERROR(IF('📥 MF Data Input'!A38="","",IF('📥 MF Data Input'!O38&lt;0,"Negative returns — review fund; check if macro or fund-specific",IF(AND('📥 MF Data Input'!I38&lt;&gt;"",'📥 MF Data Input'!O38&lt;'📥 MF Data Input'!I38/100),"Lagging benchmark 2+ yrs? Consider switching to index fund",IF('📥 MF Data Input'!O38&gt;0.15,"Strong alpha — hold; consider increasing SIP","Continue SIP; review annually against benchmark")))),"")</f>
        <v/>
      </c>
    </row>
    <row r="39" ht="18" customHeight="1" s="82">
      <c r="A39" s="63">
        <f>'📥 MF Data Input'!A39</f>
        <v/>
      </c>
      <c r="B39" s="63">
        <f>'📥 MF Data Input'!B39</f>
        <v/>
      </c>
      <c r="C39" s="63">
        <f>'📥 MF Data Input'!C39</f>
        <v/>
      </c>
      <c r="D39" s="51">
        <f>'📥 MF Data Input'!K39</f>
        <v/>
      </c>
      <c r="E39" s="51">
        <f>'📥 MF Data Input'!L39</f>
        <v/>
      </c>
      <c r="F39" s="51">
        <f>'📥 MF Data Input'!M39</f>
        <v/>
      </c>
      <c r="G39" s="52">
        <f>'📥 MF Data Input'!N39</f>
        <v/>
      </c>
      <c r="H39" s="52">
        <f>'📥 MF Data Input'!O39</f>
        <v/>
      </c>
      <c r="I39" s="52">
        <f>'📥 MF Data Input'!P39</f>
        <v/>
      </c>
      <c r="J39" s="52">
        <f>IFERROR(IF('📥 MF Data Input'!I39="","N/A",'📥 MF Data Input'!O39-'📥 MF Data Input'!I39/100),"N/A")</f>
        <v/>
      </c>
      <c r="K39" s="65">
        <f>IFERROR(IF('📥 MF Data Input'!A39="","",IF('📥 MF Data Input'!O39&lt;0,"🔴 Negative Return",IF(AND('📥 MF Data Input'!I39&lt;&gt;"",'📥 MF Data Input'!O39&lt;'📥 MF Data Input'!I39/100),"🟡 Below Benchmark",IF('📥 MF Data Input'!O39&gt;0.15,"🟢 Outperforming","🔵 In Line")))),"")</f>
        <v/>
      </c>
      <c r="L39" s="66">
        <f>IFERROR(IF('📥 MF Data Input'!A39="","",IF('📥 MF Data Input'!O39&lt;0,"Negative returns — review fund; check if macro or fund-specific",IF(AND('📥 MF Data Input'!I39&lt;&gt;"",'📥 MF Data Input'!O39&lt;'📥 MF Data Input'!I39/100),"Lagging benchmark 2+ yrs? Consider switching to index fund",IF('📥 MF Data Input'!O39&gt;0.15,"Strong alpha — hold; consider increasing SIP","Continue SIP; review annually against benchmark")))),"")</f>
        <v/>
      </c>
    </row>
    <row r="40" ht="18" customHeight="1" s="82">
      <c r="A40" s="59">
        <f>'📥 MF Data Input'!A40</f>
        <v/>
      </c>
      <c r="B40" s="59">
        <f>'📥 MF Data Input'!B40</f>
        <v/>
      </c>
      <c r="C40" s="59">
        <f>'📥 MF Data Input'!C40</f>
        <v/>
      </c>
      <c r="D40" s="42">
        <f>'📥 MF Data Input'!K40</f>
        <v/>
      </c>
      <c r="E40" s="42">
        <f>'📥 MF Data Input'!L40</f>
        <v/>
      </c>
      <c r="F40" s="42">
        <f>'📥 MF Data Input'!M40</f>
        <v/>
      </c>
      <c r="G40" s="43">
        <f>'📥 MF Data Input'!N40</f>
        <v/>
      </c>
      <c r="H40" s="43">
        <f>'📥 MF Data Input'!O40</f>
        <v/>
      </c>
      <c r="I40" s="43">
        <f>'📥 MF Data Input'!P40</f>
        <v/>
      </c>
      <c r="J40" s="43">
        <f>IFERROR(IF('📥 MF Data Input'!I40="","N/A",'📥 MF Data Input'!O40-'📥 MF Data Input'!I40/100),"N/A")</f>
        <v/>
      </c>
      <c r="K40" s="61">
        <f>IFERROR(IF('📥 MF Data Input'!A40="","",IF('📥 MF Data Input'!O40&lt;0,"🔴 Negative Return",IF(AND('📥 MF Data Input'!I40&lt;&gt;"",'📥 MF Data Input'!O40&lt;'📥 MF Data Input'!I40/100),"🟡 Below Benchmark",IF('📥 MF Data Input'!O40&gt;0.15,"🟢 Outperforming","🔵 In Line")))),"")</f>
        <v/>
      </c>
      <c r="L40" s="62">
        <f>IFERROR(IF('📥 MF Data Input'!A40="","",IF('📥 MF Data Input'!O40&lt;0,"Negative returns — review fund; check if macro or fund-specific",IF(AND('📥 MF Data Input'!I40&lt;&gt;"",'📥 MF Data Input'!O40&lt;'📥 MF Data Input'!I40/100),"Lagging benchmark 2+ yrs? Consider switching to index fund",IF('📥 MF Data Input'!O40&gt;0.15,"Strong alpha — hold; consider increasing SIP","Continue SIP; review annually against benchmark")))),"")</f>
        <v/>
      </c>
    </row>
    <row r="41" ht="18" customHeight="1" s="82">
      <c r="A41" s="63">
        <f>'📥 MF Data Input'!A41</f>
        <v/>
      </c>
      <c r="B41" s="63">
        <f>'📥 MF Data Input'!B41</f>
        <v/>
      </c>
      <c r="C41" s="63">
        <f>'📥 MF Data Input'!C41</f>
        <v/>
      </c>
      <c r="D41" s="51">
        <f>'📥 MF Data Input'!K41</f>
        <v/>
      </c>
      <c r="E41" s="51">
        <f>'📥 MF Data Input'!L41</f>
        <v/>
      </c>
      <c r="F41" s="51">
        <f>'📥 MF Data Input'!M41</f>
        <v/>
      </c>
      <c r="G41" s="52">
        <f>'📥 MF Data Input'!N41</f>
        <v/>
      </c>
      <c r="H41" s="52">
        <f>'📥 MF Data Input'!O41</f>
        <v/>
      </c>
      <c r="I41" s="52">
        <f>'📥 MF Data Input'!P41</f>
        <v/>
      </c>
      <c r="J41" s="52">
        <f>IFERROR(IF('📥 MF Data Input'!I41="","N/A",'📥 MF Data Input'!O41-'📥 MF Data Input'!I41/100),"N/A")</f>
        <v/>
      </c>
      <c r="K41" s="65">
        <f>IFERROR(IF('📥 MF Data Input'!A41="","",IF('📥 MF Data Input'!O41&lt;0,"🔴 Negative Return",IF(AND('📥 MF Data Input'!I41&lt;&gt;"",'📥 MF Data Input'!O41&lt;'📥 MF Data Input'!I41/100),"🟡 Below Benchmark",IF('📥 MF Data Input'!O41&gt;0.15,"🟢 Outperforming","🔵 In Line")))),"")</f>
        <v/>
      </c>
      <c r="L41" s="66">
        <f>IFERROR(IF('📥 MF Data Input'!A41="","",IF('📥 MF Data Input'!O41&lt;0,"Negative returns — review fund; check if macro or fund-specific",IF(AND('📥 MF Data Input'!I41&lt;&gt;"",'📥 MF Data Input'!O41&lt;'📥 MF Data Input'!I41/100),"Lagging benchmark 2+ yrs? Consider switching to index fund",IF('📥 MF Data Input'!O41&gt;0.15,"Strong alpha — hold; consider increasing SIP","Continue SIP; review annually against benchmark")))),"")</f>
        <v/>
      </c>
    </row>
    <row r="42" ht="18" customHeight="1" s="82">
      <c r="A42" s="59">
        <f>'📥 MF Data Input'!A42</f>
        <v/>
      </c>
      <c r="B42" s="59">
        <f>'📥 MF Data Input'!B42</f>
        <v/>
      </c>
      <c r="C42" s="59">
        <f>'📥 MF Data Input'!C42</f>
        <v/>
      </c>
      <c r="D42" s="42">
        <f>'📥 MF Data Input'!K42</f>
        <v/>
      </c>
      <c r="E42" s="42">
        <f>'📥 MF Data Input'!L42</f>
        <v/>
      </c>
      <c r="F42" s="42">
        <f>'📥 MF Data Input'!M42</f>
        <v/>
      </c>
      <c r="G42" s="43">
        <f>'📥 MF Data Input'!N42</f>
        <v/>
      </c>
      <c r="H42" s="43">
        <f>'📥 MF Data Input'!O42</f>
        <v/>
      </c>
      <c r="I42" s="43">
        <f>'📥 MF Data Input'!P42</f>
        <v/>
      </c>
      <c r="J42" s="43">
        <f>IFERROR(IF('📥 MF Data Input'!I42="","N/A",'📥 MF Data Input'!O42-'📥 MF Data Input'!I42/100),"N/A")</f>
        <v/>
      </c>
      <c r="K42" s="61">
        <f>IFERROR(IF('📥 MF Data Input'!A42="","",IF('📥 MF Data Input'!O42&lt;0,"🔴 Negative Return",IF(AND('📥 MF Data Input'!I42&lt;&gt;"",'📥 MF Data Input'!O42&lt;'📥 MF Data Input'!I42/100),"🟡 Below Benchmark",IF('📥 MF Data Input'!O42&gt;0.15,"🟢 Outperforming","🔵 In Line")))),"")</f>
        <v/>
      </c>
      <c r="L42" s="62">
        <f>IFERROR(IF('📥 MF Data Input'!A42="","",IF('📥 MF Data Input'!O42&lt;0,"Negative returns — review fund; check if macro or fund-specific",IF(AND('📥 MF Data Input'!I42&lt;&gt;"",'📥 MF Data Input'!O42&lt;'📥 MF Data Input'!I42/100),"Lagging benchmark 2+ yrs? Consider switching to index fund",IF('📥 MF Data Input'!O42&gt;0.15,"Strong alpha — hold; consider increasing SIP","Continue SIP; review annually against benchmark")))),"")</f>
        <v/>
      </c>
    </row>
    <row r="43" ht="18" customHeight="1" s="82">
      <c r="A43" s="63">
        <f>'📥 MF Data Input'!A43</f>
        <v/>
      </c>
      <c r="B43" s="63">
        <f>'📥 MF Data Input'!B43</f>
        <v/>
      </c>
      <c r="C43" s="63">
        <f>'📥 MF Data Input'!C43</f>
        <v/>
      </c>
      <c r="D43" s="51">
        <f>'📥 MF Data Input'!K43</f>
        <v/>
      </c>
      <c r="E43" s="51">
        <f>'📥 MF Data Input'!L43</f>
        <v/>
      </c>
      <c r="F43" s="51">
        <f>'📥 MF Data Input'!M43</f>
        <v/>
      </c>
      <c r="G43" s="52">
        <f>'📥 MF Data Input'!N43</f>
        <v/>
      </c>
      <c r="H43" s="52">
        <f>'📥 MF Data Input'!O43</f>
        <v/>
      </c>
      <c r="I43" s="52">
        <f>'📥 MF Data Input'!P43</f>
        <v/>
      </c>
      <c r="J43" s="52">
        <f>IFERROR(IF('📥 MF Data Input'!I43="","N/A",'📥 MF Data Input'!O43-'📥 MF Data Input'!I43/100),"N/A")</f>
        <v/>
      </c>
      <c r="K43" s="65">
        <f>IFERROR(IF('📥 MF Data Input'!A43="","",IF('📥 MF Data Input'!O43&lt;0,"🔴 Negative Return",IF(AND('📥 MF Data Input'!I43&lt;&gt;"",'📥 MF Data Input'!O43&lt;'📥 MF Data Input'!I43/100),"🟡 Below Benchmark",IF('📥 MF Data Input'!O43&gt;0.15,"🟢 Outperforming","🔵 In Line")))),"")</f>
        <v/>
      </c>
      <c r="L43" s="66">
        <f>IFERROR(IF('📥 MF Data Input'!A43="","",IF('📥 MF Data Input'!O43&lt;0,"Negative returns — review fund; check if macro or fund-specific",IF(AND('📥 MF Data Input'!I43&lt;&gt;"",'📥 MF Data Input'!O43&lt;'📥 MF Data Input'!I43/100),"Lagging benchmark 2+ yrs? Consider switching to index fund",IF('📥 MF Data Input'!O43&gt;0.15,"Strong alpha — hold; consider increasing SIP","Continue SIP; review annually against benchmark")))),"")</f>
        <v/>
      </c>
    </row>
    <row r="44" ht="14.25" customHeight="1" s="82"/>
    <row r="45" ht="14.25" customHeight="1" s="82"/>
    <row r="46" ht="14.25" customHeight="1" s="82"/>
    <row r="47" ht="14.25" customHeight="1" s="82"/>
    <row r="48" ht="14.25" customHeight="1" s="82"/>
    <row r="49" ht="14.25" customHeight="1" s="82"/>
    <row r="50" ht="14.25" customHeight="1" s="82"/>
    <row r="51" ht="14.25" customHeight="1" s="82"/>
    <row r="52" ht="14.25" customHeight="1" s="82"/>
    <row r="53" ht="14.25" customHeight="1" s="82"/>
    <row r="54" ht="14.25" customHeight="1" s="82"/>
    <row r="55" ht="14.25" customHeight="1" s="82"/>
    <row r="56" ht="14.25" customHeight="1" s="82"/>
    <row r="57" ht="14.25" customHeight="1" s="82"/>
    <row r="58" ht="14.25" customHeight="1" s="82"/>
    <row r="59" ht="14.25" customHeight="1" s="82"/>
    <row r="60" ht="14.25" customHeight="1" s="82"/>
    <row r="61" ht="14.25" customHeight="1" s="82"/>
    <row r="62" ht="14.25" customHeight="1" s="82"/>
    <row r="63" ht="14.25" customHeight="1" s="82"/>
    <row r="64" ht="14.25" customHeight="1" s="82"/>
    <row r="65" ht="14.25" customHeight="1" s="82"/>
    <row r="66" ht="14.25" customHeight="1" s="82"/>
    <row r="67" ht="14.25" customHeight="1" s="82"/>
    <row r="68" ht="14.25" customHeight="1" s="82"/>
    <row r="69" ht="14.25" customHeight="1" s="82"/>
    <row r="70" ht="14.25" customHeight="1" s="82"/>
    <row r="71" ht="14.25" customHeight="1" s="82"/>
    <row r="72" ht="14.25" customHeight="1" s="82"/>
    <row r="73" ht="14.25" customHeight="1" s="82"/>
    <row r="74" ht="14.25" customHeight="1" s="82"/>
    <row r="75" ht="14.25" customHeight="1" s="82"/>
    <row r="76" ht="14.25" customHeight="1" s="82"/>
    <row r="77" ht="14.25" customHeight="1" s="82"/>
    <row r="78" ht="14.25" customHeight="1" s="82"/>
    <row r="79" ht="14.25" customHeight="1" s="82"/>
    <row r="80" ht="14.25" customHeight="1" s="82"/>
    <row r="81" ht="14.25" customHeight="1" s="82"/>
    <row r="82" ht="14.25" customHeight="1" s="82"/>
    <row r="83" ht="14.25" customHeight="1" s="82"/>
    <row r="84" ht="14.25" customHeight="1" s="82"/>
    <row r="85" ht="14.25" customHeight="1" s="82"/>
    <row r="86" ht="14.25" customHeight="1" s="82"/>
    <row r="87" ht="14.25" customHeight="1" s="82"/>
    <row r="88" ht="14.25" customHeight="1" s="82"/>
    <row r="89" ht="14.25" customHeight="1" s="82"/>
    <row r="90" ht="14.25" customHeight="1" s="82"/>
    <row r="91" ht="14.25" customHeight="1" s="82"/>
    <row r="92" ht="14.25" customHeight="1" s="82"/>
    <row r="93" ht="14.25" customHeight="1" s="82"/>
    <row r="94" ht="14.25" customHeight="1" s="82"/>
    <row r="95" ht="14.25" customHeight="1" s="82"/>
    <row r="96" ht="14.25" customHeight="1" s="82"/>
    <row r="97" ht="14.25" customHeight="1" s="82"/>
    <row r="98" ht="14.25" customHeight="1" s="82"/>
    <row r="99" ht="14.25" customHeight="1" s="82"/>
    <row r="100" ht="14.25" customHeight="1" s="82"/>
    <row r="101" ht="14.25" customHeight="1" s="82"/>
    <row r="102" ht="14.25" customHeight="1" s="82"/>
    <row r="103" ht="14.25" customHeight="1" s="82"/>
    <row r="104" ht="14.25" customHeight="1" s="82"/>
    <row r="105" ht="14.25" customHeight="1" s="82"/>
    <row r="106" ht="14.25" customHeight="1" s="82"/>
    <row r="107" ht="14.25" customHeight="1" s="82"/>
    <row r="108" ht="14.25" customHeight="1" s="82"/>
    <row r="109" ht="14.25" customHeight="1" s="82"/>
    <row r="110" ht="14.25" customHeight="1" s="82"/>
    <row r="111" ht="14.25" customHeight="1" s="82"/>
    <row r="112" ht="14.25" customHeight="1" s="82"/>
    <row r="113" ht="14.25" customHeight="1" s="82"/>
    <row r="114" ht="14.25" customHeight="1" s="82"/>
    <row r="115" ht="14.25" customHeight="1" s="82"/>
    <row r="116" ht="14.25" customHeight="1" s="82"/>
    <row r="117" ht="14.25" customHeight="1" s="82"/>
    <row r="118" ht="14.25" customHeight="1" s="82"/>
    <row r="119" ht="14.25" customHeight="1" s="82"/>
    <row r="120" ht="14.25" customHeight="1" s="82"/>
    <row r="121" ht="14.25" customHeight="1" s="82"/>
    <row r="122" ht="14.25" customHeight="1" s="82"/>
    <row r="123" ht="14.25" customHeight="1" s="82"/>
    <row r="124" ht="14.25" customHeight="1" s="82"/>
    <row r="125" ht="14.25" customHeight="1" s="82"/>
    <row r="126" ht="14.25" customHeight="1" s="82"/>
    <row r="127" ht="14.25" customHeight="1" s="82"/>
    <row r="128" ht="14.25" customHeight="1" s="82"/>
    <row r="129" ht="14.25" customHeight="1" s="82"/>
    <row r="130" ht="14.25" customHeight="1" s="82"/>
    <row r="131" ht="14.25" customHeight="1" s="82"/>
    <row r="132" ht="14.25" customHeight="1" s="82"/>
    <row r="133" ht="14.25" customHeight="1" s="82"/>
    <row r="134" ht="14.25" customHeight="1" s="82"/>
    <row r="135" ht="14.25" customHeight="1" s="82"/>
    <row r="136" ht="14.25" customHeight="1" s="82"/>
    <row r="137" ht="14.25" customHeight="1" s="82"/>
    <row r="138" ht="14.25" customHeight="1" s="82"/>
    <row r="139" ht="14.25" customHeight="1" s="82"/>
    <row r="140" ht="14.25" customHeight="1" s="82"/>
    <row r="141" ht="14.25" customHeight="1" s="82"/>
    <row r="142" ht="14.25" customHeight="1" s="82"/>
    <row r="143" ht="14.25" customHeight="1" s="82"/>
    <row r="144" ht="14.25" customHeight="1" s="82"/>
    <row r="145" ht="14.25" customHeight="1" s="82"/>
    <row r="146" ht="14.25" customHeight="1" s="82"/>
    <row r="147" ht="14.25" customHeight="1" s="82"/>
    <row r="148" ht="14.25" customHeight="1" s="82"/>
    <row r="149" ht="14.25" customHeight="1" s="82"/>
    <row r="150" ht="14.25" customHeight="1" s="82"/>
    <row r="151" ht="14.25" customHeight="1" s="82"/>
    <row r="152" ht="14.25" customHeight="1" s="82"/>
    <row r="153" ht="14.25" customHeight="1" s="82"/>
    <row r="154" ht="14.25" customHeight="1" s="82"/>
    <row r="155" ht="14.25" customHeight="1" s="82"/>
    <row r="156" ht="14.25" customHeight="1" s="82"/>
    <row r="157" ht="14.25" customHeight="1" s="82"/>
    <row r="158" ht="14.25" customHeight="1" s="82"/>
    <row r="159" ht="14.25" customHeight="1" s="82"/>
    <row r="160" ht="14.25" customHeight="1" s="82"/>
    <row r="161" ht="14.25" customHeight="1" s="82"/>
    <row r="162" ht="14.25" customHeight="1" s="82"/>
    <row r="163" ht="14.25" customHeight="1" s="82"/>
    <row r="164" ht="14.25" customHeight="1" s="82"/>
    <row r="165" ht="14.25" customHeight="1" s="82"/>
    <row r="166" ht="14.25" customHeight="1" s="82"/>
    <row r="167" ht="14.25" customHeight="1" s="82"/>
    <row r="168" ht="14.25" customHeight="1" s="82"/>
    <row r="169" ht="14.25" customHeight="1" s="82"/>
    <row r="170" ht="14.25" customHeight="1" s="82"/>
    <row r="171" ht="14.25" customHeight="1" s="82"/>
    <row r="172" ht="14.25" customHeight="1" s="82"/>
    <row r="173" ht="14.25" customHeight="1" s="82"/>
    <row r="174" ht="14.25" customHeight="1" s="82"/>
    <row r="175" ht="14.25" customHeight="1" s="82"/>
    <row r="176" ht="14.25" customHeight="1" s="82"/>
    <row r="177" ht="14.25" customHeight="1" s="82"/>
    <row r="178" ht="14.25" customHeight="1" s="82"/>
    <row r="179" ht="14.25" customHeight="1" s="82"/>
    <row r="180" ht="14.25" customHeight="1" s="82"/>
    <row r="181" ht="14.25" customHeight="1" s="82"/>
    <row r="182" ht="14.25" customHeight="1" s="82"/>
    <row r="183" ht="14.25" customHeight="1" s="82"/>
    <row r="184" ht="14.25" customHeight="1" s="82"/>
    <row r="185" ht="14.25" customHeight="1" s="82"/>
    <row r="186" ht="14.25" customHeight="1" s="82"/>
    <row r="187" ht="14.25" customHeight="1" s="82"/>
    <row r="188" ht="14.25" customHeight="1" s="82"/>
    <row r="189" ht="14.25" customHeight="1" s="82"/>
    <row r="190" ht="14.25" customHeight="1" s="82"/>
    <row r="191" ht="14.25" customHeight="1" s="82"/>
    <row r="192" ht="14.25" customHeight="1" s="82"/>
    <row r="193" ht="14.25" customHeight="1" s="82"/>
    <row r="194" ht="14.25" customHeight="1" s="82"/>
    <row r="195" ht="14.25" customHeight="1" s="82"/>
    <row r="196" ht="14.25" customHeight="1" s="82"/>
    <row r="197" ht="14.25" customHeight="1" s="82"/>
    <row r="198" ht="14.25" customHeight="1" s="82"/>
    <row r="199" ht="14.25" customHeight="1" s="82"/>
    <row r="200" ht="14.25" customHeight="1" s="82"/>
    <row r="201" ht="14.25" customHeight="1" s="82"/>
    <row r="202" ht="14.25" customHeight="1" s="82"/>
    <row r="203" ht="14.25" customHeight="1" s="82"/>
    <row r="204" ht="14.25" customHeight="1" s="82"/>
    <row r="205" ht="14.25" customHeight="1" s="82"/>
    <row r="206" ht="14.25" customHeight="1" s="82"/>
    <row r="207" ht="14.25" customHeight="1" s="82"/>
    <row r="208" ht="14.25" customHeight="1" s="82"/>
    <row r="209" ht="14.25" customHeight="1" s="82"/>
    <row r="210" ht="14.25" customHeight="1" s="82"/>
    <row r="211" ht="14.25" customHeight="1" s="82"/>
    <row r="212" ht="14.25" customHeight="1" s="82"/>
    <row r="213" ht="14.25" customHeight="1" s="82"/>
    <row r="214" ht="14.25" customHeight="1" s="82"/>
    <row r="215" ht="14.25" customHeight="1" s="82"/>
    <row r="216" ht="14.25" customHeight="1" s="82"/>
    <row r="217" ht="14.25" customHeight="1" s="82"/>
    <row r="218" ht="14.25" customHeight="1" s="82"/>
    <row r="219" ht="14.25" customHeight="1" s="82"/>
    <row r="220" ht="14.25" customHeight="1" s="82"/>
    <row r="221" ht="14.25" customHeight="1" s="82"/>
    <row r="222" ht="14.25" customHeight="1" s="82"/>
    <row r="223" ht="14.25" customHeight="1" s="82"/>
    <row r="224" ht="14.25" customHeight="1" s="82"/>
    <row r="225" ht="14.25" customHeight="1" s="82"/>
    <row r="226" ht="14.25" customHeight="1" s="82"/>
    <row r="227" ht="14.25" customHeight="1" s="82"/>
    <row r="228" ht="14.25" customHeight="1" s="82"/>
    <row r="229" ht="14.25" customHeight="1" s="82"/>
    <row r="230" ht="14.25" customHeight="1" s="82"/>
    <row r="231" ht="14.25" customHeight="1" s="82"/>
    <row r="232" ht="14.25" customHeight="1" s="82"/>
    <row r="233" ht="14.25" customHeight="1" s="82"/>
    <row r="234" ht="14.25" customHeight="1" s="82"/>
    <row r="235" ht="14.25" customHeight="1" s="82"/>
    <row r="236" ht="14.25" customHeight="1" s="82"/>
    <row r="237" ht="14.25" customHeight="1" s="82"/>
    <row r="238" ht="14.25" customHeight="1" s="82"/>
    <row r="239" ht="14.25" customHeight="1" s="82"/>
    <row r="240" ht="14.25" customHeight="1" s="82"/>
    <row r="241" ht="14.25" customHeight="1" s="82"/>
    <row r="242" ht="14.25" customHeight="1" s="82"/>
    <row r="243" ht="14.25" customHeight="1" s="82"/>
    <row r="244" ht="14.25" customHeight="1" s="82"/>
    <row r="245" ht="14.25" customHeight="1" s="82"/>
    <row r="246" ht="14.25" customHeight="1" s="82"/>
    <row r="247" ht="14.25" customHeight="1" s="82"/>
    <row r="248" ht="14.25" customHeight="1" s="82"/>
    <row r="249" ht="14.25" customHeight="1" s="82"/>
    <row r="250" ht="14.25" customHeight="1" s="82"/>
    <row r="251" ht="14.25" customHeight="1" s="82"/>
    <row r="252" ht="14.25" customHeight="1" s="82"/>
    <row r="253" ht="14.25" customHeight="1" s="82"/>
    <row r="254" ht="14.25" customHeight="1" s="82"/>
    <row r="255" ht="14.25" customHeight="1" s="82"/>
    <row r="256" ht="14.25" customHeight="1" s="82"/>
    <row r="257" ht="14.25" customHeight="1" s="82"/>
    <row r="258" ht="14.25" customHeight="1" s="82"/>
    <row r="259" ht="14.25" customHeight="1" s="82"/>
    <row r="260" ht="14.25" customHeight="1" s="82"/>
    <row r="261" ht="14.25" customHeight="1" s="82"/>
    <row r="262" ht="14.25" customHeight="1" s="82"/>
    <row r="263" ht="14.25" customHeight="1" s="82"/>
    <row r="264" ht="14.25" customHeight="1" s="82"/>
    <row r="265" ht="14.25" customHeight="1" s="82"/>
    <row r="266" ht="14.25" customHeight="1" s="82"/>
    <row r="267" ht="14.25" customHeight="1" s="82"/>
    <row r="268" ht="14.25" customHeight="1" s="82"/>
    <row r="269" ht="14.25" customHeight="1" s="82"/>
    <row r="270" ht="14.25" customHeight="1" s="82"/>
    <row r="271" ht="14.25" customHeight="1" s="82"/>
    <row r="272" ht="14.25" customHeight="1" s="82"/>
    <row r="273" ht="14.25" customHeight="1" s="82"/>
    <row r="274" ht="14.25" customHeight="1" s="82"/>
    <row r="275" ht="14.25" customHeight="1" s="82"/>
    <row r="276" ht="14.25" customHeight="1" s="82"/>
    <row r="277" ht="14.25" customHeight="1" s="82"/>
    <row r="278" ht="14.25" customHeight="1" s="82"/>
    <row r="279" ht="14.25" customHeight="1" s="82"/>
    <row r="280" ht="14.25" customHeight="1" s="82"/>
    <row r="281" ht="14.25" customHeight="1" s="82"/>
    <row r="282" ht="14.25" customHeight="1" s="82"/>
    <row r="283" ht="14.25" customHeight="1" s="82"/>
    <row r="284" ht="14.25" customHeight="1" s="82"/>
    <row r="285" ht="14.25" customHeight="1" s="82"/>
    <row r="286" ht="14.25" customHeight="1" s="82"/>
    <row r="287" ht="14.25" customHeight="1" s="82"/>
    <row r="288" ht="14.25" customHeight="1" s="82"/>
    <row r="289" ht="14.25" customHeight="1" s="82"/>
    <row r="290" ht="14.25" customHeight="1" s="82"/>
    <row r="291" ht="14.25" customHeight="1" s="82"/>
    <row r="292" ht="14.25" customHeight="1" s="82"/>
    <row r="293" ht="14.25" customHeight="1" s="82"/>
    <row r="294" ht="14.25" customHeight="1" s="82"/>
    <row r="295" ht="14.25" customHeight="1" s="82"/>
    <row r="296" ht="14.25" customHeight="1" s="82"/>
    <row r="297" ht="14.25" customHeight="1" s="82"/>
    <row r="298" ht="14.25" customHeight="1" s="82"/>
    <row r="299" ht="14.25" customHeight="1" s="82"/>
    <row r="300" ht="14.25" customHeight="1" s="82"/>
    <row r="301" ht="14.25" customHeight="1" s="82"/>
    <row r="302" ht="14.25" customHeight="1" s="82"/>
    <row r="303" ht="14.25" customHeight="1" s="82"/>
    <row r="304" ht="14.25" customHeight="1" s="82"/>
    <row r="305" ht="14.25" customHeight="1" s="82"/>
    <row r="306" ht="14.25" customHeight="1" s="82"/>
    <row r="307" ht="14.25" customHeight="1" s="82"/>
    <row r="308" ht="14.25" customHeight="1" s="82"/>
    <row r="309" ht="14.25" customHeight="1" s="82"/>
    <row r="310" ht="14.25" customHeight="1" s="82"/>
    <row r="311" ht="14.25" customHeight="1" s="82"/>
    <row r="312" ht="14.25" customHeight="1" s="82"/>
    <row r="313" ht="14.25" customHeight="1" s="82"/>
    <row r="314" ht="14.25" customHeight="1" s="82"/>
    <row r="315" ht="14.25" customHeight="1" s="82"/>
    <row r="316" ht="14.25" customHeight="1" s="82"/>
    <row r="317" ht="14.25" customHeight="1" s="82"/>
    <row r="318" ht="14.25" customHeight="1" s="82"/>
    <row r="319" ht="14.25" customHeight="1" s="82"/>
    <row r="320" ht="14.25" customHeight="1" s="82"/>
    <row r="321" ht="14.25" customHeight="1" s="82"/>
    <row r="322" ht="14.25" customHeight="1" s="82"/>
    <row r="323" ht="14.25" customHeight="1" s="82"/>
    <row r="324" ht="14.25" customHeight="1" s="82"/>
    <row r="325" ht="14.25" customHeight="1" s="82"/>
    <row r="326" ht="14.25" customHeight="1" s="82"/>
    <row r="327" ht="14.25" customHeight="1" s="82"/>
    <row r="328" ht="14.25" customHeight="1" s="82"/>
    <row r="329" ht="14.25" customHeight="1" s="82"/>
    <row r="330" ht="14.25" customHeight="1" s="82"/>
    <row r="331" ht="14.25" customHeight="1" s="82"/>
    <row r="332" ht="14.25" customHeight="1" s="82"/>
    <row r="333" ht="14.25" customHeight="1" s="82"/>
    <row r="334" ht="14.25" customHeight="1" s="82"/>
    <row r="335" ht="14.25" customHeight="1" s="82"/>
    <row r="336" ht="14.25" customHeight="1" s="82"/>
    <row r="337" ht="14.25" customHeight="1" s="82"/>
    <row r="338" ht="14.25" customHeight="1" s="82"/>
    <row r="339" ht="14.25" customHeight="1" s="82"/>
    <row r="340" ht="14.25" customHeight="1" s="82"/>
    <row r="341" ht="14.25" customHeight="1" s="82"/>
    <row r="342" ht="14.25" customHeight="1" s="82"/>
    <row r="343" ht="14.25" customHeight="1" s="82"/>
    <row r="344" ht="14.25" customHeight="1" s="82"/>
    <row r="345" ht="14.25" customHeight="1" s="82"/>
    <row r="346" ht="14.25" customHeight="1" s="82"/>
    <row r="347" ht="14.25" customHeight="1" s="82"/>
    <row r="348" ht="14.25" customHeight="1" s="82"/>
    <row r="349" ht="14.25" customHeight="1" s="82"/>
    <row r="350" ht="14.25" customHeight="1" s="82"/>
    <row r="351" ht="14.25" customHeight="1" s="82"/>
    <row r="352" ht="14.25" customHeight="1" s="82"/>
    <row r="353" ht="14.25" customHeight="1" s="82"/>
    <row r="354" ht="14.25" customHeight="1" s="82"/>
    <row r="355" ht="14.25" customHeight="1" s="82"/>
    <row r="356" ht="14.25" customHeight="1" s="82"/>
    <row r="357" ht="14.25" customHeight="1" s="82"/>
    <row r="358" ht="14.25" customHeight="1" s="82"/>
    <row r="359" ht="14.25" customHeight="1" s="82"/>
    <row r="360" ht="14.25" customHeight="1" s="82"/>
    <row r="361" ht="14.25" customHeight="1" s="82"/>
    <row r="362" ht="14.25" customHeight="1" s="82"/>
    <row r="363" ht="14.25" customHeight="1" s="82"/>
    <row r="364" ht="14.25" customHeight="1" s="82"/>
    <row r="365" ht="14.25" customHeight="1" s="82"/>
    <row r="366" ht="14.25" customHeight="1" s="82"/>
    <row r="367" ht="14.25" customHeight="1" s="82"/>
    <row r="368" ht="14.25" customHeight="1" s="82"/>
    <row r="369" ht="14.25" customHeight="1" s="82"/>
    <row r="370" ht="14.25" customHeight="1" s="82"/>
    <row r="371" ht="14.25" customHeight="1" s="82"/>
    <row r="372" ht="14.25" customHeight="1" s="82"/>
    <row r="373" ht="14.25" customHeight="1" s="82"/>
    <row r="374" ht="14.25" customHeight="1" s="82"/>
    <row r="375" ht="14.25" customHeight="1" s="82"/>
    <row r="376" ht="14.25" customHeight="1" s="82"/>
    <row r="377" ht="14.25" customHeight="1" s="82"/>
    <row r="378" ht="14.25" customHeight="1" s="82"/>
    <row r="379" ht="14.25" customHeight="1" s="82"/>
    <row r="380" ht="14.25" customHeight="1" s="82"/>
    <row r="381" ht="14.25" customHeight="1" s="82"/>
    <row r="382" ht="14.25" customHeight="1" s="82"/>
    <row r="383" ht="14.25" customHeight="1" s="82"/>
    <row r="384" ht="14.25" customHeight="1" s="82"/>
    <row r="385" ht="14.25" customHeight="1" s="82"/>
    <row r="386" ht="14.25" customHeight="1" s="82"/>
    <row r="387" ht="14.25" customHeight="1" s="82"/>
    <row r="388" ht="14.25" customHeight="1" s="82"/>
    <row r="389" ht="14.25" customHeight="1" s="82"/>
    <row r="390" ht="14.25" customHeight="1" s="82"/>
    <row r="391" ht="14.25" customHeight="1" s="82"/>
    <row r="392" ht="14.25" customHeight="1" s="82"/>
    <row r="393" ht="14.25" customHeight="1" s="82"/>
    <row r="394" ht="14.25" customHeight="1" s="82"/>
    <row r="395" ht="14.25" customHeight="1" s="82"/>
    <row r="396" ht="14.25" customHeight="1" s="82"/>
    <row r="397" ht="14.25" customHeight="1" s="82"/>
    <row r="398" ht="14.25" customHeight="1" s="82"/>
    <row r="399" ht="14.25" customHeight="1" s="82"/>
    <row r="400" ht="14.25" customHeight="1" s="82"/>
    <row r="401" ht="14.25" customHeight="1" s="82"/>
    <row r="402" ht="14.25" customHeight="1" s="82"/>
    <row r="403" ht="14.25" customHeight="1" s="82"/>
    <row r="404" ht="14.25" customHeight="1" s="82"/>
    <row r="405" ht="14.25" customHeight="1" s="82"/>
    <row r="406" ht="14.25" customHeight="1" s="82"/>
    <row r="407" ht="14.25" customHeight="1" s="82"/>
    <row r="408" ht="14.25" customHeight="1" s="82"/>
    <row r="409" ht="14.25" customHeight="1" s="82"/>
    <row r="410" ht="14.25" customHeight="1" s="82"/>
    <row r="411" ht="14.25" customHeight="1" s="82"/>
    <row r="412" ht="14.25" customHeight="1" s="82"/>
    <row r="413" ht="14.25" customHeight="1" s="82"/>
    <row r="414" ht="14.25" customHeight="1" s="82"/>
    <row r="415" ht="14.25" customHeight="1" s="82"/>
    <row r="416" ht="14.25" customHeight="1" s="82"/>
    <row r="417" ht="14.25" customHeight="1" s="82"/>
    <row r="418" ht="14.25" customHeight="1" s="82"/>
    <row r="419" ht="14.25" customHeight="1" s="82"/>
    <row r="420" ht="14.25" customHeight="1" s="82"/>
    <row r="421" ht="14.25" customHeight="1" s="82"/>
    <row r="422" ht="14.25" customHeight="1" s="82"/>
    <row r="423" ht="14.25" customHeight="1" s="82"/>
    <row r="424" ht="14.25" customHeight="1" s="82"/>
    <row r="425" ht="14.25" customHeight="1" s="82"/>
    <row r="426" ht="14.25" customHeight="1" s="82"/>
    <row r="427" ht="14.25" customHeight="1" s="82"/>
    <row r="428" ht="14.25" customHeight="1" s="82"/>
    <row r="429" ht="14.25" customHeight="1" s="82"/>
    <row r="430" ht="14.25" customHeight="1" s="82"/>
    <row r="431" ht="14.25" customHeight="1" s="82"/>
    <row r="432" ht="14.25" customHeight="1" s="82"/>
    <row r="433" ht="14.25" customHeight="1" s="82"/>
    <row r="434" ht="14.25" customHeight="1" s="82"/>
    <row r="435" ht="14.25" customHeight="1" s="82"/>
    <row r="436" ht="14.25" customHeight="1" s="82"/>
    <row r="437" ht="14.25" customHeight="1" s="82"/>
    <row r="438" ht="14.25" customHeight="1" s="82"/>
    <row r="439" ht="14.25" customHeight="1" s="82"/>
    <row r="440" ht="14.25" customHeight="1" s="82"/>
    <row r="441" ht="14.25" customHeight="1" s="82"/>
    <row r="442" ht="14.25" customHeight="1" s="82"/>
    <row r="443" ht="14.25" customHeight="1" s="82"/>
    <row r="444" ht="14.25" customHeight="1" s="82"/>
    <row r="445" ht="14.25" customHeight="1" s="82"/>
    <row r="446" ht="14.25" customHeight="1" s="82"/>
    <row r="447" ht="14.25" customHeight="1" s="82"/>
    <row r="448" ht="14.25" customHeight="1" s="82"/>
    <row r="449" ht="14.25" customHeight="1" s="82"/>
    <row r="450" ht="14.25" customHeight="1" s="82"/>
    <row r="451" ht="14.25" customHeight="1" s="82"/>
    <row r="452" ht="14.25" customHeight="1" s="82"/>
    <row r="453" ht="14.25" customHeight="1" s="82"/>
    <row r="454" ht="14.25" customHeight="1" s="82"/>
    <row r="455" ht="14.25" customHeight="1" s="82"/>
    <row r="456" ht="14.25" customHeight="1" s="82"/>
    <row r="457" ht="14.25" customHeight="1" s="82"/>
    <row r="458" ht="14.25" customHeight="1" s="82"/>
    <row r="459" ht="14.25" customHeight="1" s="82"/>
    <row r="460" ht="14.25" customHeight="1" s="82"/>
    <row r="461" ht="14.25" customHeight="1" s="82"/>
    <row r="462" ht="14.25" customHeight="1" s="82"/>
    <row r="463" ht="14.25" customHeight="1" s="82"/>
    <row r="464" ht="14.25" customHeight="1" s="82"/>
    <row r="465" ht="14.25" customHeight="1" s="82"/>
    <row r="466" ht="14.25" customHeight="1" s="82"/>
    <row r="467" ht="14.25" customHeight="1" s="82"/>
    <row r="468" ht="14.25" customHeight="1" s="82"/>
    <row r="469" ht="14.25" customHeight="1" s="82"/>
    <row r="470" ht="14.25" customHeight="1" s="82"/>
    <row r="471" ht="14.25" customHeight="1" s="82"/>
    <row r="472" ht="14.25" customHeight="1" s="82"/>
    <row r="473" ht="14.25" customHeight="1" s="82"/>
    <row r="474" ht="14.25" customHeight="1" s="82"/>
    <row r="475" ht="14.25" customHeight="1" s="82"/>
    <row r="476" ht="14.25" customHeight="1" s="82"/>
    <row r="477" ht="14.25" customHeight="1" s="82"/>
    <row r="478" ht="14.25" customHeight="1" s="82"/>
    <row r="479" ht="14.25" customHeight="1" s="82"/>
    <row r="480" ht="14.25" customHeight="1" s="82"/>
    <row r="481" ht="14.25" customHeight="1" s="82"/>
    <row r="482" ht="14.25" customHeight="1" s="82"/>
    <row r="483" ht="14.25" customHeight="1" s="82"/>
    <row r="484" ht="14.25" customHeight="1" s="82"/>
    <row r="485" ht="14.25" customHeight="1" s="82"/>
    <row r="486" ht="14.25" customHeight="1" s="82"/>
    <row r="487" ht="14.25" customHeight="1" s="82"/>
    <row r="488" ht="14.25" customHeight="1" s="82"/>
    <row r="489" ht="14.25" customHeight="1" s="82"/>
    <row r="490" ht="14.25" customHeight="1" s="82"/>
    <row r="491" ht="14.25" customHeight="1" s="82"/>
    <row r="492" ht="14.25" customHeight="1" s="82"/>
    <row r="493" ht="14.25" customHeight="1" s="82"/>
    <row r="494" ht="14.25" customHeight="1" s="82"/>
    <row r="495" ht="14.25" customHeight="1" s="82"/>
    <row r="496" ht="14.25" customHeight="1" s="82"/>
    <row r="497" ht="14.25" customHeight="1" s="82"/>
    <row r="498" ht="14.25" customHeight="1" s="82"/>
    <row r="499" ht="14.25" customHeight="1" s="82"/>
    <row r="500" ht="14.25" customHeight="1" s="82"/>
    <row r="501" ht="14.25" customHeight="1" s="82"/>
    <row r="502" ht="14.25" customHeight="1" s="82"/>
    <row r="503" ht="14.25" customHeight="1" s="82"/>
    <row r="504" ht="14.25" customHeight="1" s="82"/>
    <row r="505" ht="14.25" customHeight="1" s="82"/>
    <row r="506" ht="14.25" customHeight="1" s="82"/>
    <row r="507" ht="14.25" customHeight="1" s="82"/>
    <row r="508" ht="14.25" customHeight="1" s="82"/>
    <row r="509" ht="14.25" customHeight="1" s="82"/>
    <row r="510" ht="14.25" customHeight="1" s="82"/>
    <row r="511" ht="14.25" customHeight="1" s="82"/>
    <row r="512" ht="14.25" customHeight="1" s="82"/>
    <row r="513" ht="14.25" customHeight="1" s="82"/>
    <row r="514" ht="14.25" customHeight="1" s="82"/>
    <row r="515" ht="14.25" customHeight="1" s="82"/>
    <row r="516" ht="14.25" customHeight="1" s="82"/>
    <row r="517" ht="14.25" customHeight="1" s="82"/>
    <row r="518" ht="14.25" customHeight="1" s="82"/>
    <row r="519" ht="14.25" customHeight="1" s="82"/>
    <row r="520" ht="14.25" customHeight="1" s="82"/>
    <row r="521" ht="14.25" customHeight="1" s="82"/>
    <row r="522" ht="14.25" customHeight="1" s="82"/>
    <row r="523" ht="14.25" customHeight="1" s="82"/>
    <row r="524" ht="14.25" customHeight="1" s="82"/>
    <row r="525" ht="14.25" customHeight="1" s="82"/>
    <row r="526" ht="14.25" customHeight="1" s="82"/>
    <row r="527" ht="14.25" customHeight="1" s="82"/>
    <row r="528" ht="14.25" customHeight="1" s="82"/>
    <row r="529" ht="14.25" customHeight="1" s="82"/>
    <row r="530" ht="14.25" customHeight="1" s="82"/>
    <row r="531" ht="14.25" customHeight="1" s="82"/>
    <row r="532" ht="14.25" customHeight="1" s="82"/>
    <row r="533" ht="14.25" customHeight="1" s="82"/>
    <row r="534" ht="14.25" customHeight="1" s="82"/>
    <row r="535" ht="14.25" customHeight="1" s="82"/>
    <row r="536" ht="14.25" customHeight="1" s="82"/>
    <row r="537" ht="14.25" customHeight="1" s="82"/>
    <row r="538" ht="14.25" customHeight="1" s="82"/>
    <row r="539" ht="14.25" customHeight="1" s="82"/>
    <row r="540" ht="14.25" customHeight="1" s="82"/>
    <row r="541" ht="14.25" customHeight="1" s="82"/>
    <row r="542" ht="14.25" customHeight="1" s="82"/>
    <row r="543" ht="14.25" customHeight="1" s="82"/>
    <row r="544" ht="14.25" customHeight="1" s="82"/>
    <row r="545" ht="14.25" customHeight="1" s="82"/>
    <row r="546" ht="14.25" customHeight="1" s="82"/>
    <row r="547" ht="14.25" customHeight="1" s="82"/>
    <row r="548" ht="14.25" customHeight="1" s="82"/>
    <row r="549" ht="14.25" customHeight="1" s="82"/>
    <row r="550" ht="14.25" customHeight="1" s="82"/>
    <row r="551" ht="14.25" customHeight="1" s="82"/>
    <row r="552" ht="14.25" customHeight="1" s="82"/>
    <row r="553" ht="14.25" customHeight="1" s="82"/>
    <row r="554" ht="14.25" customHeight="1" s="82"/>
    <row r="555" ht="14.25" customHeight="1" s="82"/>
    <row r="556" ht="14.25" customHeight="1" s="82"/>
    <row r="557" ht="14.25" customHeight="1" s="82"/>
    <row r="558" ht="14.25" customHeight="1" s="82"/>
    <row r="559" ht="14.25" customHeight="1" s="82"/>
    <row r="560" ht="14.25" customHeight="1" s="82"/>
    <row r="561" ht="14.25" customHeight="1" s="82"/>
    <row r="562" ht="14.25" customHeight="1" s="82"/>
    <row r="563" ht="14.25" customHeight="1" s="82"/>
    <row r="564" ht="14.25" customHeight="1" s="82"/>
    <row r="565" ht="14.25" customHeight="1" s="82"/>
    <row r="566" ht="14.25" customHeight="1" s="82"/>
    <row r="567" ht="14.25" customHeight="1" s="82"/>
    <row r="568" ht="14.25" customHeight="1" s="82"/>
    <row r="569" ht="14.25" customHeight="1" s="82"/>
    <row r="570" ht="14.25" customHeight="1" s="82"/>
    <row r="571" ht="14.25" customHeight="1" s="82"/>
    <row r="572" ht="14.25" customHeight="1" s="82"/>
    <row r="573" ht="14.25" customHeight="1" s="82"/>
    <row r="574" ht="14.25" customHeight="1" s="82"/>
    <row r="575" ht="14.25" customHeight="1" s="82"/>
    <row r="576" ht="14.25" customHeight="1" s="82"/>
    <row r="577" ht="14.25" customHeight="1" s="82"/>
    <row r="578" ht="14.25" customHeight="1" s="82"/>
    <row r="579" ht="14.25" customHeight="1" s="82"/>
    <row r="580" ht="14.25" customHeight="1" s="82"/>
    <row r="581" ht="14.25" customHeight="1" s="82"/>
    <row r="582" ht="14.25" customHeight="1" s="82"/>
    <row r="583" ht="14.25" customHeight="1" s="82"/>
    <row r="584" ht="14.25" customHeight="1" s="82"/>
    <row r="585" ht="14.25" customHeight="1" s="82"/>
    <row r="586" ht="14.25" customHeight="1" s="82"/>
    <row r="587" ht="14.25" customHeight="1" s="82"/>
    <row r="588" ht="14.25" customHeight="1" s="82"/>
    <row r="589" ht="14.25" customHeight="1" s="82"/>
    <row r="590" ht="14.25" customHeight="1" s="82"/>
    <row r="591" ht="14.25" customHeight="1" s="82"/>
    <row r="592" ht="14.25" customHeight="1" s="82"/>
    <row r="593" ht="14.25" customHeight="1" s="82"/>
    <row r="594" ht="14.25" customHeight="1" s="82"/>
    <row r="595" ht="14.25" customHeight="1" s="82"/>
    <row r="596" ht="14.25" customHeight="1" s="82"/>
    <row r="597" ht="14.25" customHeight="1" s="82"/>
    <row r="598" ht="14.25" customHeight="1" s="82"/>
    <row r="599" ht="14.25" customHeight="1" s="82"/>
    <row r="600" ht="14.25" customHeight="1" s="82"/>
    <row r="601" ht="14.25" customHeight="1" s="82"/>
    <row r="602" ht="14.25" customHeight="1" s="82"/>
    <row r="603" ht="14.25" customHeight="1" s="82"/>
    <row r="604" ht="14.25" customHeight="1" s="82"/>
    <row r="605" ht="14.25" customHeight="1" s="82"/>
    <row r="606" ht="14.25" customHeight="1" s="82"/>
    <row r="607" ht="14.25" customHeight="1" s="82"/>
    <row r="608" ht="14.25" customHeight="1" s="82"/>
    <row r="609" ht="14.25" customHeight="1" s="82"/>
    <row r="610" ht="14.25" customHeight="1" s="82"/>
    <row r="611" ht="14.25" customHeight="1" s="82"/>
    <row r="612" ht="14.25" customHeight="1" s="82"/>
    <row r="613" ht="14.25" customHeight="1" s="82"/>
    <row r="614" ht="14.25" customHeight="1" s="82"/>
    <row r="615" ht="14.25" customHeight="1" s="82"/>
    <row r="616" ht="14.25" customHeight="1" s="82"/>
    <row r="617" ht="14.25" customHeight="1" s="82"/>
    <row r="618" ht="14.25" customHeight="1" s="82"/>
    <row r="619" ht="14.25" customHeight="1" s="82"/>
    <row r="620" ht="14.25" customHeight="1" s="82"/>
    <row r="621" ht="14.25" customHeight="1" s="82"/>
    <row r="622" ht="14.25" customHeight="1" s="82"/>
    <row r="623" ht="14.25" customHeight="1" s="82"/>
    <row r="624" ht="14.25" customHeight="1" s="82"/>
    <row r="625" ht="14.25" customHeight="1" s="82"/>
    <row r="626" ht="14.25" customHeight="1" s="82"/>
    <row r="627" ht="14.25" customHeight="1" s="82"/>
    <row r="628" ht="14.25" customHeight="1" s="82"/>
    <row r="629" ht="14.25" customHeight="1" s="82"/>
    <row r="630" ht="14.25" customHeight="1" s="82"/>
    <row r="631" ht="14.25" customHeight="1" s="82"/>
    <row r="632" ht="14.25" customHeight="1" s="82"/>
    <row r="633" ht="14.25" customHeight="1" s="82"/>
    <row r="634" ht="14.25" customHeight="1" s="82"/>
    <row r="635" ht="14.25" customHeight="1" s="82"/>
    <row r="636" ht="14.25" customHeight="1" s="82"/>
    <row r="637" ht="14.25" customHeight="1" s="82"/>
    <row r="638" ht="14.25" customHeight="1" s="82"/>
    <row r="639" ht="14.25" customHeight="1" s="82"/>
    <row r="640" ht="14.25" customHeight="1" s="82"/>
    <row r="641" ht="14.25" customHeight="1" s="82"/>
    <row r="642" ht="14.25" customHeight="1" s="82"/>
    <row r="643" ht="14.25" customHeight="1" s="82"/>
    <row r="644" ht="14.25" customHeight="1" s="82"/>
    <row r="645" ht="14.25" customHeight="1" s="82"/>
    <row r="646" ht="14.25" customHeight="1" s="82"/>
    <row r="647" ht="14.25" customHeight="1" s="82"/>
    <row r="648" ht="14.25" customHeight="1" s="82"/>
    <row r="649" ht="14.25" customHeight="1" s="82"/>
    <row r="650" ht="14.25" customHeight="1" s="82"/>
    <row r="651" ht="14.25" customHeight="1" s="82"/>
    <row r="652" ht="14.25" customHeight="1" s="82"/>
    <row r="653" ht="14.25" customHeight="1" s="82"/>
    <row r="654" ht="14.25" customHeight="1" s="82"/>
    <row r="655" ht="14.25" customHeight="1" s="82"/>
    <row r="656" ht="14.25" customHeight="1" s="82"/>
    <row r="657" ht="14.25" customHeight="1" s="82"/>
    <row r="658" ht="14.25" customHeight="1" s="82"/>
    <row r="659" ht="14.25" customHeight="1" s="82"/>
    <row r="660" ht="14.25" customHeight="1" s="82"/>
    <row r="661" ht="14.25" customHeight="1" s="82"/>
    <row r="662" ht="14.25" customHeight="1" s="82"/>
    <row r="663" ht="14.25" customHeight="1" s="82"/>
    <row r="664" ht="14.25" customHeight="1" s="82"/>
    <row r="665" ht="14.25" customHeight="1" s="82"/>
    <row r="666" ht="14.25" customHeight="1" s="82"/>
    <row r="667" ht="14.25" customHeight="1" s="82"/>
    <row r="668" ht="14.25" customHeight="1" s="82"/>
    <row r="669" ht="14.25" customHeight="1" s="82"/>
    <row r="670" ht="14.25" customHeight="1" s="82"/>
    <row r="671" ht="14.25" customHeight="1" s="82"/>
    <row r="672" ht="14.25" customHeight="1" s="82"/>
    <row r="673" ht="14.25" customHeight="1" s="82"/>
    <row r="674" ht="14.25" customHeight="1" s="82"/>
    <row r="675" ht="14.25" customHeight="1" s="82"/>
    <row r="676" ht="14.25" customHeight="1" s="82"/>
    <row r="677" ht="14.25" customHeight="1" s="82"/>
    <row r="678" ht="14.25" customHeight="1" s="82"/>
    <row r="679" ht="14.25" customHeight="1" s="82"/>
    <row r="680" ht="14.25" customHeight="1" s="82"/>
    <row r="681" ht="14.25" customHeight="1" s="82"/>
    <row r="682" ht="14.25" customHeight="1" s="82"/>
    <row r="683" ht="14.25" customHeight="1" s="82"/>
    <row r="684" ht="14.25" customHeight="1" s="82"/>
    <row r="685" ht="14.25" customHeight="1" s="82"/>
    <row r="686" ht="14.25" customHeight="1" s="82"/>
    <row r="687" ht="14.25" customHeight="1" s="82"/>
    <row r="688" ht="14.25" customHeight="1" s="82"/>
    <row r="689" ht="14.25" customHeight="1" s="82"/>
    <row r="690" ht="14.25" customHeight="1" s="82"/>
    <row r="691" ht="14.25" customHeight="1" s="82"/>
    <row r="692" ht="14.25" customHeight="1" s="82"/>
    <row r="693" ht="14.25" customHeight="1" s="82"/>
    <row r="694" ht="14.25" customHeight="1" s="82"/>
    <row r="695" ht="14.25" customHeight="1" s="82"/>
    <row r="696" ht="14.25" customHeight="1" s="82"/>
    <row r="697" ht="14.25" customHeight="1" s="82"/>
    <row r="698" ht="14.25" customHeight="1" s="82"/>
    <row r="699" ht="14.25" customHeight="1" s="82"/>
    <row r="700" ht="14.25" customHeight="1" s="82"/>
    <row r="701" ht="14.25" customHeight="1" s="82"/>
    <row r="702" ht="14.25" customHeight="1" s="82"/>
    <row r="703" ht="14.25" customHeight="1" s="82"/>
    <row r="704" ht="14.25" customHeight="1" s="82"/>
    <row r="705" ht="14.25" customHeight="1" s="82"/>
    <row r="706" ht="14.25" customHeight="1" s="82"/>
    <row r="707" ht="14.25" customHeight="1" s="82"/>
    <row r="708" ht="14.25" customHeight="1" s="82"/>
    <row r="709" ht="14.25" customHeight="1" s="82"/>
    <row r="710" ht="14.25" customHeight="1" s="82"/>
    <row r="711" ht="14.25" customHeight="1" s="82"/>
    <row r="712" ht="14.25" customHeight="1" s="82"/>
    <row r="713" ht="14.25" customHeight="1" s="82"/>
    <row r="714" ht="14.25" customHeight="1" s="82"/>
    <row r="715" ht="14.25" customHeight="1" s="82"/>
    <row r="716" ht="14.25" customHeight="1" s="82"/>
    <row r="717" ht="14.25" customHeight="1" s="82"/>
    <row r="718" ht="14.25" customHeight="1" s="82"/>
    <row r="719" ht="14.25" customHeight="1" s="82"/>
    <row r="720" ht="14.25" customHeight="1" s="82"/>
    <row r="721" ht="14.25" customHeight="1" s="82"/>
    <row r="722" ht="14.25" customHeight="1" s="82"/>
    <row r="723" ht="14.25" customHeight="1" s="82"/>
    <row r="724" ht="14.25" customHeight="1" s="82"/>
    <row r="725" ht="14.25" customHeight="1" s="82"/>
    <row r="726" ht="14.25" customHeight="1" s="82"/>
    <row r="727" ht="14.25" customHeight="1" s="82"/>
    <row r="728" ht="14.25" customHeight="1" s="82"/>
    <row r="729" ht="14.25" customHeight="1" s="82"/>
    <row r="730" ht="14.25" customHeight="1" s="82"/>
    <row r="731" ht="14.25" customHeight="1" s="82"/>
    <row r="732" ht="14.25" customHeight="1" s="82"/>
    <row r="733" ht="14.25" customHeight="1" s="82"/>
    <row r="734" ht="14.25" customHeight="1" s="82"/>
    <row r="735" ht="14.25" customHeight="1" s="82"/>
    <row r="736" ht="14.25" customHeight="1" s="82"/>
    <row r="737" ht="14.25" customHeight="1" s="82"/>
    <row r="738" ht="14.25" customHeight="1" s="82"/>
    <row r="739" ht="14.25" customHeight="1" s="82"/>
    <row r="740" ht="14.25" customHeight="1" s="82"/>
    <row r="741" ht="14.25" customHeight="1" s="82"/>
    <row r="742" ht="14.25" customHeight="1" s="82"/>
    <row r="743" ht="14.25" customHeight="1" s="82"/>
    <row r="744" ht="14.25" customHeight="1" s="82"/>
    <row r="745" ht="14.25" customHeight="1" s="82"/>
    <row r="746" ht="14.25" customHeight="1" s="82"/>
    <row r="747" ht="14.25" customHeight="1" s="82"/>
    <row r="748" ht="14.25" customHeight="1" s="82"/>
    <row r="749" ht="14.25" customHeight="1" s="82"/>
    <row r="750" ht="14.25" customHeight="1" s="82"/>
    <row r="751" ht="14.25" customHeight="1" s="82"/>
    <row r="752" ht="14.25" customHeight="1" s="82"/>
    <row r="753" ht="14.25" customHeight="1" s="82"/>
    <row r="754" ht="14.25" customHeight="1" s="82"/>
    <row r="755" ht="14.25" customHeight="1" s="82"/>
    <row r="756" ht="14.25" customHeight="1" s="82"/>
    <row r="757" ht="14.25" customHeight="1" s="82"/>
    <row r="758" ht="14.25" customHeight="1" s="82"/>
    <row r="759" ht="14.25" customHeight="1" s="82"/>
    <row r="760" ht="14.25" customHeight="1" s="82"/>
    <row r="761" ht="14.25" customHeight="1" s="82"/>
    <row r="762" ht="14.25" customHeight="1" s="82"/>
    <row r="763" ht="14.25" customHeight="1" s="82"/>
    <row r="764" ht="14.25" customHeight="1" s="82"/>
    <row r="765" ht="14.25" customHeight="1" s="82"/>
    <row r="766" ht="14.25" customHeight="1" s="82"/>
    <row r="767" ht="14.25" customHeight="1" s="82"/>
    <row r="768" ht="14.25" customHeight="1" s="82"/>
    <row r="769" ht="14.25" customHeight="1" s="82"/>
    <row r="770" ht="14.25" customHeight="1" s="82"/>
    <row r="771" ht="14.25" customHeight="1" s="82"/>
    <row r="772" ht="14.25" customHeight="1" s="82"/>
    <row r="773" ht="14.25" customHeight="1" s="82"/>
    <row r="774" ht="14.25" customHeight="1" s="82"/>
    <row r="775" ht="14.25" customHeight="1" s="82"/>
    <row r="776" ht="14.25" customHeight="1" s="82"/>
    <row r="777" ht="14.25" customHeight="1" s="82"/>
    <row r="778" ht="14.25" customHeight="1" s="82"/>
    <row r="779" ht="14.25" customHeight="1" s="82"/>
    <row r="780" ht="14.25" customHeight="1" s="82"/>
    <row r="781" ht="14.25" customHeight="1" s="82"/>
    <row r="782" ht="14.25" customHeight="1" s="82"/>
    <row r="783" ht="14.25" customHeight="1" s="82"/>
    <row r="784" ht="14.25" customHeight="1" s="82"/>
    <row r="785" ht="14.25" customHeight="1" s="82"/>
    <row r="786" ht="14.25" customHeight="1" s="82"/>
    <row r="787" ht="14.25" customHeight="1" s="82"/>
    <row r="788" ht="14.25" customHeight="1" s="82"/>
    <row r="789" ht="14.25" customHeight="1" s="82"/>
    <row r="790" ht="14.25" customHeight="1" s="82"/>
    <row r="791" ht="14.25" customHeight="1" s="82"/>
    <row r="792" ht="14.25" customHeight="1" s="82"/>
    <row r="793" ht="14.25" customHeight="1" s="82"/>
    <row r="794" ht="14.25" customHeight="1" s="82"/>
    <row r="795" ht="14.25" customHeight="1" s="82"/>
    <row r="796" ht="14.25" customHeight="1" s="82"/>
    <row r="797" ht="14.25" customHeight="1" s="82"/>
    <row r="798" ht="14.25" customHeight="1" s="82"/>
    <row r="799" ht="14.25" customHeight="1" s="82"/>
    <row r="800" ht="14.25" customHeight="1" s="82"/>
    <row r="801" ht="14.25" customHeight="1" s="82"/>
    <row r="802" ht="14.25" customHeight="1" s="82"/>
    <row r="803" ht="14.25" customHeight="1" s="82"/>
    <row r="804" ht="14.25" customHeight="1" s="82"/>
    <row r="805" ht="14.25" customHeight="1" s="82"/>
    <row r="806" ht="14.25" customHeight="1" s="82"/>
    <row r="807" ht="14.25" customHeight="1" s="82"/>
    <row r="808" ht="14.25" customHeight="1" s="82"/>
    <row r="809" ht="14.25" customHeight="1" s="82"/>
    <row r="810" ht="14.25" customHeight="1" s="82"/>
    <row r="811" ht="14.25" customHeight="1" s="82"/>
    <row r="812" ht="14.25" customHeight="1" s="82"/>
    <row r="813" ht="14.25" customHeight="1" s="82"/>
    <row r="814" ht="14.25" customHeight="1" s="82"/>
    <row r="815" ht="14.25" customHeight="1" s="82"/>
    <row r="816" ht="14.25" customHeight="1" s="82"/>
    <row r="817" ht="14.25" customHeight="1" s="82"/>
    <row r="818" ht="14.25" customHeight="1" s="82"/>
    <row r="819" ht="14.25" customHeight="1" s="82"/>
    <row r="820" ht="14.25" customHeight="1" s="82"/>
    <row r="821" ht="14.25" customHeight="1" s="82"/>
    <row r="822" ht="14.25" customHeight="1" s="82"/>
    <row r="823" ht="14.25" customHeight="1" s="82"/>
    <row r="824" ht="14.25" customHeight="1" s="82"/>
    <row r="825" ht="14.25" customHeight="1" s="82"/>
    <row r="826" ht="14.25" customHeight="1" s="82"/>
    <row r="827" ht="14.25" customHeight="1" s="82"/>
    <row r="828" ht="14.25" customHeight="1" s="82"/>
    <row r="829" ht="14.25" customHeight="1" s="82"/>
    <row r="830" ht="14.25" customHeight="1" s="82"/>
    <row r="831" ht="14.25" customHeight="1" s="82"/>
    <row r="832" ht="14.25" customHeight="1" s="82"/>
    <row r="833" ht="14.25" customHeight="1" s="82"/>
    <row r="834" ht="14.25" customHeight="1" s="82"/>
    <row r="835" ht="14.25" customHeight="1" s="82"/>
    <row r="836" ht="14.25" customHeight="1" s="82"/>
    <row r="837" ht="14.25" customHeight="1" s="82"/>
    <row r="838" ht="14.25" customHeight="1" s="82"/>
    <row r="839" ht="14.25" customHeight="1" s="82"/>
    <row r="840" ht="14.25" customHeight="1" s="82"/>
    <row r="841" ht="14.25" customHeight="1" s="82"/>
    <row r="842" ht="14.25" customHeight="1" s="82"/>
    <row r="843" ht="14.25" customHeight="1" s="82"/>
    <row r="844" ht="14.25" customHeight="1" s="82"/>
    <row r="845" ht="14.25" customHeight="1" s="82"/>
    <row r="846" ht="14.25" customHeight="1" s="82"/>
    <row r="847" ht="14.25" customHeight="1" s="82"/>
    <row r="848" ht="14.25" customHeight="1" s="82"/>
    <row r="849" ht="14.25" customHeight="1" s="82"/>
    <row r="850" ht="14.25" customHeight="1" s="82"/>
    <row r="851" ht="14.25" customHeight="1" s="82"/>
    <row r="852" ht="14.25" customHeight="1" s="82"/>
    <row r="853" ht="14.25" customHeight="1" s="82"/>
    <row r="854" ht="14.25" customHeight="1" s="82"/>
    <row r="855" ht="14.25" customHeight="1" s="82"/>
    <row r="856" ht="14.25" customHeight="1" s="82"/>
    <row r="857" ht="14.25" customHeight="1" s="82"/>
    <row r="858" ht="14.25" customHeight="1" s="82"/>
    <row r="859" ht="14.25" customHeight="1" s="82"/>
    <row r="860" ht="14.25" customHeight="1" s="82"/>
    <row r="861" ht="14.25" customHeight="1" s="82"/>
    <row r="862" ht="14.25" customHeight="1" s="82"/>
    <row r="863" ht="14.25" customHeight="1" s="82"/>
    <row r="864" ht="14.25" customHeight="1" s="82"/>
    <row r="865" ht="14.25" customHeight="1" s="82"/>
    <row r="866" ht="14.25" customHeight="1" s="82"/>
    <row r="867" ht="14.25" customHeight="1" s="82"/>
    <row r="868" ht="14.25" customHeight="1" s="82"/>
    <row r="869" ht="14.25" customHeight="1" s="82"/>
    <row r="870" ht="14.25" customHeight="1" s="82"/>
    <row r="871" ht="14.25" customHeight="1" s="82"/>
    <row r="872" ht="14.25" customHeight="1" s="82"/>
    <row r="873" ht="14.25" customHeight="1" s="82"/>
    <row r="874" ht="14.25" customHeight="1" s="82"/>
    <row r="875" ht="14.25" customHeight="1" s="82"/>
    <row r="876" ht="14.25" customHeight="1" s="82"/>
    <row r="877" ht="14.25" customHeight="1" s="82"/>
    <row r="878" ht="14.25" customHeight="1" s="82"/>
    <row r="879" ht="14.25" customHeight="1" s="82"/>
    <row r="880" ht="14.25" customHeight="1" s="82"/>
    <row r="881" ht="14.25" customHeight="1" s="82"/>
    <row r="882" ht="14.25" customHeight="1" s="82"/>
    <row r="883" ht="14.25" customHeight="1" s="82"/>
    <row r="884" ht="14.25" customHeight="1" s="82"/>
    <row r="885" ht="14.25" customHeight="1" s="82"/>
    <row r="886" ht="14.25" customHeight="1" s="82"/>
    <row r="887" ht="14.25" customHeight="1" s="82"/>
    <row r="888" ht="14.25" customHeight="1" s="82"/>
    <row r="889" ht="14.25" customHeight="1" s="82"/>
    <row r="890" ht="14.25" customHeight="1" s="82"/>
    <row r="891" ht="14.25" customHeight="1" s="82"/>
    <row r="892" ht="14.25" customHeight="1" s="82"/>
    <row r="893" ht="14.25" customHeight="1" s="82"/>
    <row r="894" ht="14.25" customHeight="1" s="82"/>
    <row r="895" ht="14.25" customHeight="1" s="82"/>
    <row r="896" ht="14.25" customHeight="1" s="82"/>
    <row r="897" ht="14.25" customHeight="1" s="82"/>
    <row r="898" ht="14.25" customHeight="1" s="82"/>
    <row r="899" ht="14.25" customHeight="1" s="82"/>
    <row r="900" ht="14.25" customHeight="1" s="82"/>
    <row r="901" ht="14.25" customHeight="1" s="82"/>
    <row r="902" ht="14.25" customHeight="1" s="82"/>
    <row r="903" ht="14.25" customHeight="1" s="82"/>
    <row r="904" ht="14.25" customHeight="1" s="82"/>
    <row r="905" ht="14.25" customHeight="1" s="82"/>
    <row r="906" ht="14.25" customHeight="1" s="82"/>
    <row r="907" ht="14.25" customHeight="1" s="82"/>
    <row r="908" ht="14.25" customHeight="1" s="82"/>
    <row r="909" ht="14.25" customHeight="1" s="82"/>
    <row r="910" ht="14.25" customHeight="1" s="82"/>
    <row r="911" ht="14.25" customHeight="1" s="82"/>
    <row r="912" ht="14.25" customHeight="1" s="82"/>
    <row r="913" ht="14.25" customHeight="1" s="82"/>
    <row r="914" ht="14.25" customHeight="1" s="82"/>
    <row r="915" ht="14.25" customHeight="1" s="82"/>
    <row r="916" ht="14.25" customHeight="1" s="82"/>
    <row r="917" ht="14.25" customHeight="1" s="82"/>
    <row r="918" ht="14.25" customHeight="1" s="82"/>
    <row r="919" ht="14.25" customHeight="1" s="82"/>
    <row r="920" ht="14.25" customHeight="1" s="82"/>
    <row r="921" ht="14.25" customHeight="1" s="82"/>
    <row r="922" ht="14.25" customHeight="1" s="82"/>
    <row r="923" ht="14.25" customHeight="1" s="82"/>
    <row r="924" ht="14.25" customHeight="1" s="82"/>
    <row r="925" ht="14.25" customHeight="1" s="82"/>
    <row r="926" ht="14.25" customHeight="1" s="82"/>
    <row r="927" ht="14.25" customHeight="1" s="82"/>
    <row r="928" ht="14.25" customHeight="1" s="82"/>
    <row r="929" ht="14.25" customHeight="1" s="82"/>
    <row r="930" ht="14.25" customHeight="1" s="82"/>
    <row r="931" ht="14.25" customHeight="1" s="82"/>
    <row r="932" ht="14.25" customHeight="1" s="82"/>
    <row r="933" ht="14.25" customHeight="1" s="82"/>
    <row r="934" ht="14.25" customHeight="1" s="82"/>
    <row r="935" ht="14.25" customHeight="1" s="82"/>
    <row r="936" ht="14.25" customHeight="1" s="82"/>
    <row r="937" ht="14.25" customHeight="1" s="82"/>
    <row r="938" ht="14.25" customHeight="1" s="82"/>
    <row r="939" ht="14.25" customHeight="1" s="82"/>
    <row r="940" ht="14.25" customHeight="1" s="82"/>
    <row r="941" ht="14.25" customHeight="1" s="82"/>
    <row r="942" ht="14.25" customHeight="1" s="82"/>
    <row r="943" ht="14.25" customHeight="1" s="82"/>
    <row r="944" ht="14.25" customHeight="1" s="82"/>
    <row r="945" ht="14.25" customHeight="1" s="82"/>
    <row r="946" ht="14.25" customHeight="1" s="82"/>
    <row r="947" ht="14.25" customHeight="1" s="82"/>
    <row r="948" ht="14.25" customHeight="1" s="82"/>
    <row r="949" ht="14.25" customHeight="1" s="82"/>
    <row r="950" ht="14.25" customHeight="1" s="82"/>
    <row r="951" ht="14.25" customHeight="1" s="82"/>
    <row r="952" ht="14.25" customHeight="1" s="82"/>
    <row r="953" ht="14.25" customHeight="1" s="82"/>
    <row r="954" ht="14.25" customHeight="1" s="82"/>
    <row r="955" ht="14.25" customHeight="1" s="82"/>
    <row r="956" ht="14.25" customHeight="1" s="82"/>
    <row r="957" ht="14.25" customHeight="1" s="82"/>
    <row r="958" ht="14.25" customHeight="1" s="82"/>
    <row r="959" ht="14.25" customHeight="1" s="82"/>
    <row r="960" ht="14.25" customHeight="1" s="82"/>
    <row r="961" ht="14.25" customHeight="1" s="82"/>
    <row r="962" ht="14.25" customHeight="1" s="82"/>
    <row r="963" ht="14.25" customHeight="1" s="82"/>
    <row r="964" ht="14.25" customHeight="1" s="82"/>
    <row r="965" ht="14.25" customHeight="1" s="82"/>
    <row r="966" ht="14.25" customHeight="1" s="82"/>
    <row r="967" ht="14.25" customHeight="1" s="82"/>
    <row r="968" ht="14.25" customHeight="1" s="82"/>
    <row r="969" ht="14.25" customHeight="1" s="82"/>
    <row r="970" ht="14.25" customHeight="1" s="82"/>
    <row r="971" ht="14.25" customHeight="1" s="82"/>
    <row r="972" ht="14.25" customHeight="1" s="82"/>
    <row r="973" ht="14.25" customHeight="1" s="82"/>
    <row r="974" ht="14.25" customHeight="1" s="82"/>
    <row r="975" ht="14.25" customHeight="1" s="82"/>
    <row r="976" ht="14.25" customHeight="1" s="82"/>
    <row r="977" ht="14.25" customHeight="1" s="82"/>
    <row r="978" ht="14.25" customHeight="1" s="82"/>
    <row r="979" ht="14.25" customHeight="1" s="82"/>
    <row r="980" ht="14.25" customHeight="1" s="82"/>
    <row r="981" ht="14.25" customHeight="1" s="82"/>
    <row r="982" ht="14.25" customHeight="1" s="82"/>
    <row r="983" ht="14.25" customHeight="1" s="82"/>
    <row r="984" ht="14.25" customHeight="1" s="82"/>
    <row r="985" ht="14.25" customHeight="1" s="82"/>
    <row r="986" ht="14.25" customHeight="1" s="82"/>
    <row r="987" ht="14.25" customHeight="1" s="82"/>
    <row r="988" ht="14.25" customHeight="1" s="82"/>
    <row r="989" ht="14.25" customHeight="1" s="82"/>
    <row r="990" ht="14.25" customHeight="1" s="82"/>
    <row r="991" ht="14.25" customHeight="1" s="82"/>
    <row r="992" ht="14.25" customHeight="1" s="82"/>
    <row r="993" ht="14.25" customHeight="1" s="82"/>
    <row r="994" ht="14.25" customHeight="1" s="82"/>
    <row r="995" ht="14.25" customHeight="1" s="82"/>
    <row r="996" ht="14.25" customHeight="1" s="82"/>
    <row r="997" ht="14.25" customHeight="1" s="82"/>
    <row r="998" ht="14.25" customHeight="1" s="82"/>
    <row r="999" ht="14.25" customHeight="1" s="82"/>
    <row r="1000" ht="14.25" customHeight="1" s="82"/>
  </sheetData>
  <mergeCells count="2">
    <mergeCell ref="A2:L2"/>
    <mergeCell ref="A1:L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tabColor rgb="FF7F5003"/>
    <outlinePr summaryBelow="1" summaryRight="1"/>
    <pageSetUpPr/>
  </sheetPr>
  <dimension ref="A1:G19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26.71" customWidth="1" style="82" min="1" max="1"/>
    <col width="14.71" customWidth="1" style="82" min="2" max="2"/>
    <col width="18.71" customWidth="1" style="82" min="3" max="4"/>
    <col width="14.71" customWidth="1" style="82" min="5" max="5"/>
    <col width="13.71" customWidth="1" style="82" min="6" max="6"/>
    <col width="22.71" customWidth="1" style="82" min="7" max="7"/>
    <col width="8.710000000000001" customWidth="1" style="82" min="8" max="26"/>
  </cols>
  <sheetData>
    <row r="1" ht="30" customHeight="1" s="82">
      <c r="A1" s="91" t="inlineStr">
        <is>
          <t>Sector-Wise Equity Allocation</t>
        </is>
      </c>
    </row>
    <row r="2" ht="30" customHeight="1" s="82">
      <c r="A2" s="92" t="inlineStr">
        <is>
          <t>⚙️ Auto-calculated from Stock Data Input. Ensure you fill the Sector column (Column C) in the stock input sheet correctly for this to work.</t>
        </is>
      </c>
    </row>
    <row r="3" ht="24" customHeight="1" s="82">
      <c r="A3" s="33" t="inlineStr">
        <is>
          <t>Sector</t>
        </is>
      </c>
      <c r="B3" s="33" t="inlineStr">
        <is>
          <t>No. of Stocks</t>
        </is>
      </c>
      <c r="C3" s="33" t="inlineStr">
        <is>
          <t>Total Invested (₹)</t>
        </is>
      </c>
      <c r="D3" s="33" t="inlineStr">
        <is>
          <t>Current Value (₹)</t>
        </is>
      </c>
      <c r="E3" s="33" t="inlineStr">
        <is>
          <t>P&amp;L (₹)</t>
        </is>
      </c>
      <c r="F3" s="33" t="inlineStr">
        <is>
          <t>Wt % of Portfolio</t>
        </is>
      </c>
      <c r="G3" s="33" t="inlineStr">
        <is>
          <t>Concentration Flag</t>
        </is>
      </c>
    </row>
    <row r="4" ht="18" customHeight="1" s="82">
      <c r="A4" s="67" t="inlineStr">
        <is>
          <t>Banking &amp; Finance</t>
        </is>
      </c>
      <c r="B4" s="61">
        <f>COUNTIF('📥 Stock Data Input'!$C$4:$C$53,A4)</f>
        <v/>
      </c>
      <c r="C4" s="42">
        <f>SUMIF('📥 Stock Data Input'!$C$4:$C$53,A4,'📥 Stock Data Input'!$J$4:$J$53)</f>
        <v/>
      </c>
      <c r="D4" s="42">
        <f>SUMIF('📥 Stock Data Input'!$C$4:$C$53,A4,'📥 Stock Data Input'!$K$4:$K$53)</f>
        <v/>
      </c>
      <c r="E4" s="42">
        <f>IFERROR(D4-C4,0)</f>
        <v/>
      </c>
      <c r="F4" s="43">
        <f>IFERROR(D4/'📥 Stock Data Input'!$K$54,0)</f>
        <v/>
      </c>
      <c r="G4" s="61">
        <f>IF(F4&gt;0.3,"⚠️ High Concentration",IF(F4&gt;0.2,"🟡 Moderate","✅ Diversified"))</f>
        <v/>
      </c>
    </row>
    <row r="5" ht="18" customHeight="1" s="82">
      <c r="A5" s="68" t="inlineStr">
        <is>
          <t>IT &amp; Technology</t>
        </is>
      </c>
      <c r="B5" s="69">
        <f>COUNTIF('📥 Stock Data Input'!$C$4:$C$53,A5)</f>
        <v/>
      </c>
      <c r="C5" s="70">
        <f>SUMIF('📥 Stock Data Input'!$C$4:$C$53,A5,'📥 Stock Data Input'!$J$4:$J$53)</f>
        <v/>
      </c>
      <c r="D5" s="70">
        <f>SUMIF('📥 Stock Data Input'!$C$4:$C$53,A5,'📥 Stock Data Input'!$K$4:$K$53)</f>
        <v/>
      </c>
      <c r="E5" s="70">
        <f>IFERROR(D5-C5,0)</f>
        <v/>
      </c>
      <c r="F5" s="71">
        <f>IFERROR(D5/'📥 Stock Data Input'!$K$54,0)</f>
        <v/>
      </c>
      <c r="G5" s="69">
        <f>IF(F5&gt;0.3,"⚠️ High Concentration",IF(F5&gt;0.2,"🟡 Moderate","✅ Diversified"))</f>
        <v/>
      </c>
    </row>
    <row r="6" ht="18" customHeight="1" s="82">
      <c r="A6" s="67" t="inlineStr">
        <is>
          <t>FMCG &amp; Consumer</t>
        </is>
      </c>
      <c r="B6" s="61">
        <f>COUNTIF('📥 Stock Data Input'!$C$4:$C$53,A6)</f>
        <v/>
      </c>
      <c r="C6" s="42">
        <f>SUMIF('📥 Stock Data Input'!$C$4:$C$53,A6,'📥 Stock Data Input'!$J$4:$J$53)</f>
        <v/>
      </c>
      <c r="D6" s="42">
        <f>SUMIF('📥 Stock Data Input'!$C$4:$C$53,A6,'📥 Stock Data Input'!$K$4:$K$53)</f>
        <v/>
      </c>
      <c r="E6" s="42">
        <f>IFERROR(D6-C6,0)</f>
        <v/>
      </c>
      <c r="F6" s="43">
        <f>IFERROR(D6/'📥 Stock Data Input'!$K$54,0)</f>
        <v/>
      </c>
      <c r="G6" s="61">
        <f>IF(F6&gt;0.3,"⚠️ High Concentration",IF(F6&gt;0.2,"🟡 Moderate","✅ Diversified"))</f>
        <v/>
      </c>
    </row>
    <row r="7" ht="18" customHeight="1" s="82">
      <c r="A7" s="68" t="inlineStr">
        <is>
          <t>Pharma &amp; Healthcare</t>
        </is>
      </c>
      <c r="B7" s="69">
        <f>COUNTIF('📥 Stock Data Input'!$C$4:$C$53,A7)</f>
        <v/>
      </c>
      <c r="C7" s="70">
        <f>SUMIF('📥 Stock Data Input'!$C$4:$C$53,A7,'📥 Stock Data Input'!$J$4:$J$53)</f>
        <v/>
      </c>
      <c r="D7" s="70">
        <f>SUMIF('📥 Stock Data Input'!$C$4:$C$53,A7,'📥 Stock Data Input'!$K$4:$K$53)</f>
        <v/>
      </c>
      <c r="E7" s="70">
        <f>IFERROR(D7-C7,0)</f>
        <v/>
      </c>
      <c r="F7" s="71">
        <f>IFERROR(D7/'📥 Stock Data Input'!$K$54,0)</f>
        <v/>
      </c>
      <c r="G7" s="69">
        <f>IF(F7&gt;0.3,"⚠️ High Concentration",IF(F7&gt;0.2,"🟡 Moderate","✅ Diversified"))</f>
        <v/>
      </c>
    </row>
    <row r="8" ht="18" customHeight="1" s="82">
      <c r="A8" s="67" t="inlineStr">
        <is>
          <t>Auto &amp; Auto Ancillaries</t>
        </is>
      </c>
      <c r="B8" s="61">
        <f>COUNTIF('📥 Stock Data Input'!$C$4:$C$53,A8)</f>
        <v/>
      </c>
      <c r="C8" s="42">
        <f>SUMIF('📥 Stock Data Input'!$C$4:$C$53,A8,'📥 Stock Data Input'!$J$4:$J$53)</f>
        <v/>
      </c>
      <c r="D8" s="42">
        <f>SUMIF('📥 Stock Data Input'!$C$4:$C$53,A8,'📥 Stock Data Input'!$K$4:$K$53)</f>
        <v/>
      </c>
      <c r="E8" s="42">
        <f>IFERROR(D8-C8,0)</f>
        <v/>
      </c>
      <c r="F8" s="43">
        <f>IFERROR(D8/'📥 Stock Data Input'!$K$54,0)</f>
        <v/>
      </c>
      <c r="G8" s="61">
        <f>IF(F8&gt;0.3,"⚠️ High Concentration",IF(F8&gt;0.2,"🟡 Moderate","✅ Diversified"))</f>
        <v/>
      </c>
    </row>
    <row r="9" ht="18" customHeight="1" s="82">
      <c r="A9" s="68" t="inlineStr">
        <is>
          <t>Metals &amp; Mining</t>
        </is>
      </c>
      <c r="B9" s="69">
        <f>COUNTIF('📥 Stock Data Input'!$C$4:$C$53,A9)</f>
        <v/>
      </c>
      <c r="C9" s="70">
        <f>SUMIF('📥 Stock Data Input'!$C$4:$C$53,A9,'📥 Stock Data Input'!$J$4:$J$53)</f>
        <v/>
      </c>
      <c r="D9" s="70">
        <f>SUMIF('📥 Stock Data Input'!$C$4:$C$53,A9,'📥 Stock Data Input'!$K$4:$K$53)</f>
        <v/>
      </c>
      <c r="E9" s="70">
        <f>IFERROR(D9-C9,0)</f>
        <v/>
      </c>
      <c r="F9" s="71">
        <f>IFERROR(D9/'📥 Stock Data Input'!$K$54,0)</f>
        <v/>
      </c>
      <c r="G9" s="69">
        <f>IF(F9&gt;0.3,"⚠️ High Concentration",IF(F9&gt;0.2,"🟡 Moderate","✅ Diversified"))</f>
        <v/>
      </c>
    </row>
    <row r="10" ht="18" customHeight="1" s="82">
      <c r="A10" s="67" t="inlineStr">
        <is>
          <t>Energy &amp; Oil &amp; Gas</t>
        </is>
      </c>
      <c r="B10" s="61">
        <f>COUNTIF('📥 Stock Data Input'!$C$4:$C$53,A10)</f>
        <v/>
      </c>
      <c r="C10" s="42">
        <f>SUMIF('📥 Stock Data Input'!$C$4:$C$53,A10,'📥 Stock Data Input'!$J$4:$J$53)</f>
        <v/>
      </c>
      <c r="D10" s="42">
        <f>SUMIF('📥 Stock Data Input'!$C$4:$C$53,A10,'📥 Stock Data Input'!$K$4:$K$53)</f>
        <v/>
      </c>
      <c r="E10" s="42">
        <f>IFERROR(D10-C10,0)</f>
        <v/>
      </c>
      <c r="F10" s="43">
        <f>IFERROR(D10/'📥 Stock Data Input'!$K$54,0)</f>
        <v/>
      </c>
      <c r="G10" s="61">
        <f>IF(F10&gt;0.3,"⚠️ High Concentration",IF(F10&gt;0.2,"🟡 Moderate","✅ Diversified"))</f>
        <v/>
      </c>
    </row>
    <row r="11" ht="18" customHeight="1" s="82">
      <c r="A11" s="68" t="inlineStr">
        <is>
          <t>Cement &amp; Infra</t>
        </is>
      </c>
      <c r="B11" s="69">
        <f>COUNTIF('📥 Stock Data Input'!$C$4:$C$53,A11)</f>
        <v/>
      </c>
      <c r="C11" s="70">
        <f>SUMIF('📥 Stock Data Input'!$C$4:$C$53,A11,'📥 Stock Data Input'!$J$4:$J$53)</f>
        <v/>
      </c>
      <c r="D11" s="70">
        <f>SUMIF('📥 Stock Data Input'!$C$4:$C$53,A11,'📥 Stock Data Input'!$K$4:$K$53)</f>
        <v/>
      </c>
      <c r="E11" s="70">
        <f>IFERROR(D11-C11,0)</f>
        <v/>
      </c>
      <c r="F11" s="71">
        <f>IFERROR(D11/'📥 Stock Data Input'!$K$54,0)</f>
        <v/>
      </c>
      <c r="G11" s="69">
        <f>IF(F11&gt;0.3,"⚠️ High Concentration",IF(F11&gt;0.2,"🟡 Moderate","✅ Diversified"))</f>
        <v/>
      </c>
    </row>
    <row r="12" ht="18" customHeight="1" s="82">
      <c r="A12" s="67" t="inlineStr">
        <is>
          <t>Chemicals</t>
        </is>
      </c>
      <c r="B12" s="61">
        <f>COUNTIF('📥 Stock Data Input'!$C$4:$C$53,A12)</f>
        <v/>
      </c>
      <c r="C12" s="42">
        <f>SUMIF('📥 Stock Data Input'!$C$4:$C$53,A12,'📥 Stock Data Input'!$J$4:$J$53)</f>
        <v/>
      </c>
      <c r="D12" s="42">
        <f>SUMIF('📥 Stock Data Input'!$C$4:$C$53,A12,'📥 Stock Data Input'!$K$4:$K$53)</f>
        <v/>
      </c>
      <c r="E12" s="42">
        <f>IFERROR(D12-C12,0)</f>
        <v/>
      </c>
      <c r="F12" s="43">
        <f>IFERROR(D12/'📥 Stock Data Input'!$K$54,0)</f>
        <v/>
      </c>
      <c r="G12" s="61">
        <f>IF(F12&gt;0.3,"⚠️ High Concentration",IF(F12&gt;0.2,"🟡 Moderate","✅ Diversified"))</f>
        <v/>
      </c>
    </row>
    <row r="13" ht="18" customHeight="1" s="82">
      <c r="A13" s="68" t="inlineStr">
        <is>
          <t>Telecom</t>
        </is>
      </c>
      <c r="B13" s="69">
        <f>COUNTIF('📥 Stock Data Input'!$C$4:$C$53,A13)</f>
        <v/>
      </c>
      <c r="C13" s="70">
        <f>SUMIF('📥 Stock Data Input'!$C$4:$C$53,A13,'📥 Stock Data Input'!$J$4:$J$53)</f>
        <v/>
      </c>
      <c r="D13" s="70">
        <f>SUMIF('📥 Stock Data Input'!$C$4:$C$53,A13,'📥 Stock Data Input'!$K$4:$K$53)</f>
        <v/>
      </c>
      <c r="E13" s="70">
        <f>IFERROR(D13-C13,0)</f>
        <v/>
      </c>
      <c r="F13" s="71">
        <f>IFERROR(D13/'📥 Stock Data Input'!$K$54,0)</f>
        <v/>
      </c>
      <c r="G13" s="69">
        <f>IF(F13&gt;0.3,"⚠️ High Concentration",IF(F13&gt;0.2,"🟡 Moderate","✅ Diversified"))</f>
        <v/>
      </c>
    </row>
    <row r="14" ht="18" customHeight="1" s="82">
      <c r="A14" s="67" t="inlineStr">
        <is>
          <t>Real Estate</t>
        </is>
      </c>
      <c r="B14" s="61">
        <f>COUNTIF('📥 Stock Data Input'!$C$4:$C$53,A14)</f>
        <v/>
      </c>
      <c r="C14" s="42">
        <f>SUMIF('📥 Stock Data Input'!$C$4:$C$53,A14,'📥 Stock Data Input'!$J$4:$J$53)</f>
        <v/>
      </c>
      <c r="D14" s="42">
        <f>SUMIF('📥 Stock Data Input'!$C$4:$C$53,A14,'📥 Stock Data Input'!$K$4:$K$53)</f>
        <v/>
      </c>
      <c r="E14" s="42">
        <f>IFERROR(D14-C14,0)</f>
        <v/>
      </c>
      <c r="F14" s="43">
        <f>IFERROR(D14/'📥 Stock Data Input'!$K$54,0)</f>
        <v/>
      </c>
      <c r="G14" s="61">
        <f>IF(F14&gt;0.3,"⚠️ High Concentration",IF(F14&gt;0.2,"🟡 Moderate","✅ Diversified"))</f>
        <v/>
      </c>
    </row>
    <row r="15" ht="18" customHeight="1" s="82">
      <c r="A15" s="68" t="inlineStr">
        <is>
          <t>Textiles</t>
        </is>
      </c>
      <c r="B15" s="69">
        <f>COUNTIF('📥 Stock Data Input'!$C$4:$C$53,A15)</f>
        <v/>
      </c>
      <c r="C15" s="70">
        <f>SUMIF('📥 Stock Data Input'!$C$4:$C$53,A15,'📥 Stock Data Input'!$J$4:$J$53)</f>
        <v/>
      </c>
      <c r="D15" s="70">
        <f>SUMIF('📥 Stock Data Input'!$C$4:$C$53,A15,'📥 Stock Data Input'!$K$4:$K$53)</f>
        <v/>
      </c>
      <c r="E15" s="70">
        <f>IFERROR(D15-C15,0)</f>
        <v/>
      </c>
      <c r="F15" s="71">
        <f>IFERROR(D15/'📥 Stock Data Input'!$K$54,0)</f>
        <v/>
      </c>
      <c r="G15" s="69">
        <f>IF(F15&gt;0.3,"⚠️ High Concentration",IF(F15&gt;0.2,"🟡 Moderate","✅ Diversified"))</f>
        <v/>
      </c>
    </row>
    <row r="16" ht="18" customHeight="1" s="82">
      <c r="A16" s="67" t="inlineStr">
        <is>
          <t>Others</t>
        </is>
      </c>
      <c r="B16" s="61">
        <f>COUNTIF('📥 Stock Data Input'!$C$4:$C$53,A16)</f>
        <v/>
      </c>
      <c r="C16" s="42">
        <f>SUMIF('📥 Stock Data Input'!$C$4:$C$53,A16,'📥 Stock Data Input'!$J$4:$J$53)</f>
        <v/>
      </c>
      <c r="D16" s="42">
        <f>SUMIF('📥 Stock Data Input'!$C$4:$C$53,A16,'📥 Stock Data Input'!$K$4:$K$53)</f>
        <v/>
      </c>
      <c r="E16" s="42">
        <f>IFERROR(D16-C16,0)</f>
        <v/>
      </c>
      <c r="F16" s="43">
        <f>IFERROR(D16/'📥 Stock Data Input'!$K$54,0)</f>
        <v/>
      </c>
      <c r="G16" s="61">
        <f>IF(F16&gt;0.3,"⚠️ High Concentration",IF(F16&gt;0.2,"🟡 Moderate","✅ Diversified"))</f>
        <v/>
      </c>
    </row>
    <row r="17" ht="19.5" customHeight="1" s="82">
      <c r="A17" s="56" t="inlineStr">
        <is>
          <t>TOTAL</t>
        </is>
      </c>
      <c r="B17" s="33">
        <f>SUM(B4:B16)</f>
        <v/>
      </c>
      <c r="C17" s="57">
        <f>SUM(C4:C16)</f>
        <v/>
      </c>
      <c r="D17" s="57">
        <f>SUM(D4:D16)</f>
        <v/>
      </c>
      <c r="E17" s="57">
        <f>SUM(E4:E16)</f>
        <v/>
      </c>
      <c r="F17" s="56" t="n"/>
      <c r="G17" s="56" t="n"/>
    </row>
    <row r="18" ht="14.25" customHeight="1" s="82"/>
    <row r="19" ht="14.25" customHeight="1" s="82">
      <c r="A19" s="92" t="inlineStr">
        <is>
          <t>⚠️ Concentration Risk Note: Any single sector above 30% of portfolio warrants diversification review. Ideal: no sector &gt;25%.</t>
        </is>
      </c>
    </row>
    <row r="20" ht="14.25" customHeight="1" s="82"/>
    <row r="21" ht="14.25" customHeight="1" s="82"/>
    <row r="22" ht="14.25" customHeight="1" s="82"/>
    <row r="23" ht="14.25" customHeight="1" s="82"/>
    <row r="24" ht="14.25" customHeight="1" s="82"/>
    <row r="25" ht="14.25" customHeight="1" s="82"/>
    <row r="26" ht="14.25" customHeight="1" s="82"/>
    <row r="27" ht="14.25" customHeight="1" s="82"/>
    <row r="28" ht="14.25" customHeight="1" s="82"/>
    <row r="29" ht="14.25" customHeight="1" s="82"/>
    <row r="30" ht="14.25" customHeight="1" s="82"/>
    <row r="31" ht="14.25" customHeight="1" s="82"/>
    <row r="32" ht="14.25" customHeight="1" s="82"/>
    <row r="33" ht="14.25" customHeight="1" s="82"/>
    <row r="34" ht="14.25" customHeight="1" s="82"/>
    <row r="35" ht="14.25" customHeight="1" s="82"/>
    <row r="36" ht="14.25" customHeight="1" s="82"/>
    <row r="37" ht="14.25" customHeight="1" s="82"/>
    <row r="38" ht="14.25" customHeight="1" s="82"/>
    <row r="39" ht="14.25" customHeight="1" s="82"/>
    <row r="40" ht="14.25" customHeight="1" s="82"/>
    <row r="41" ht="14.25" customHeight="1" s="82"/>
    <row r="42" ht="14.25" customHeight="1" s="82"/>
    <row r="43" ht="14.25" customHeight="1" s="82"/>
    <row r="44" ht="14.25" customHeight="1" s="82"/>
    <row r="45" ht="14.25" customHeight="1" s="82"/>
    <row r="46" ht="14.25" customHeight="1" s="82"/>
    <row r="47" ht="14.25" customHeight="1" s="82"/>
    <row r="48" ht="14.25" customHeight="1" s="82"/>
    <row r="49" ht="14.25" customHeight="1" s="82"/>
    <row r="50" ht="14.25" customHeight="1" s="82"/>
    <row r="51" ht="14.25" customHeight="1" s="82"/>
    <row r="52" ht="14.25" customHeight="1" s="82"/>
    <row r="53" ht="14.25" customHeight="1" s="82"/>
    <row r="54" ht="14.25" customHeight="1" s="82"/>
    <row r="55" ht="14.25" customHeight="1" s="82"/>
    <row r="56" ht="14.25" customHeight="1" s="82"/>
    <row r="57" ht="14.25" customHeight="1" s="82"/>
    <row r="58" ht="14.25" customHeight="1" s="82"/>
    <row r="59" ht="14.25" customHeight="1" s="82"/>
    <row r="60" ht="14.25" customHeight="1" s="82"/>
    <row r="61" ht="14.25" customHeight="1" s="82"/>
    <row r="62" ht="14.25" customHeight="1" s="82"/>
    <row r="63" ht="14.25" customHeight="1" s="82"/>
    <row r="64" ht="14.25" customHeight="1" s="82"/>
    <row r="65" ht="14.25" customHeight="1" s="82"/>
    <row r="66" ht="14.25" customHeight="1" s="82"/>
    <row r="67" ht="14.25" customHeight="1" s="82"/>
    <row r="68" ht="14.25" customHeight="1" s="82"/>
    <row r="69" ht="14.25" customHeight="1" s="82"/>
    <row r="70" ht="14.25" customHeight="1" s="82"/>
    <row r="71" ht="14.25" customHeight="1" s="82"/>
    <row r="72" ht="14.25" customHeight="1" s="82"/>
    <row r="73" ht="14.25" customHeight="1" s="82"/>
    <row r="74" ht="14.25" customHeight="1" s="82"/>
    <row r="75" ht="14.25" customHeight="1" s="82"/>
    <row r="76" ht="14.25" customHeight="1" s="82"/>
    <row r="77" ht="14.25" customHeight="1" s="82"/>
    <row r="78" ht="14.25" customHeight="1" s="82"/>
    <row r="79" ht="14.25" customHeight="1" s="82"/>
    <row r="80" ht="14.25" customHeight="1" s="82"/>
    <row r="81" ht="14.25" customHeight="1" s="82"/>
    <row r="82" ht="14.25" customHeight="1" s="82"/>
    <row r="83" ht="14.25" customHeight="1" s="82"/>
    <row r="84" ht="14.25" customHeight="1" s="82"/>
    <row r="85" ht="14.25" customHeight="1" s="82"/>
    <row r="86" ht="14.25" customHeight="1" s="82"/>
    <row r="87" ht="14.25" customHeight="1" s="82"/>
    <row r="88" ht="14.25" customHeight="1" s="82"/>
    <row r="89" ht="14.25" customHeight="1" s="82"/>
    <row r="90" ht="14.25" customHeight="1" s="82"/>
    <row r="91" ht="14.25" customHeight="1" s="82"/>
    <row r="92" ht="14.25" customHeight="1" s="82"/>
    <row r="93" ht="14.25" customHeight="1" s="82"/>
    <row r="94" ht="14.25" customHeight="1" s="82"/>
    <row r="95" ht="14.25" customHeight="1" s="82"/>
    <row r="96" ht="14.25" customHeight="1" s="82"/>
    <row r="97" ht="14.25" customHeight="1" s="82"/>
    <row r="98" ht="14.25" customHeight="1" s="82"/>
    <row r="99" ht="14.25" customHeight="1" s="82"/>
    <row r="100" ht="14.25" customHeight="1" s="82"/>
    <row r="101" ht="14.25" customHeight="1" s="82"/>
    <row r="102" ht="14.25" customHeight="1" s="82"/>
    <row r="103" ht="14.25" customHeight="1" s="82"/>
    <row r="104" ht="14.25" customHeight="1" s="82"/>
    <row r="105" ht="14.25" customHeight="1" s="82"/>
    <row r="106" ht="14.25" customHeight="1" s="82"/>
    <row r="107" ht="14.25" customHeight="1" s="82"/>
    <row r="108" ht="14.25" customHeight="1" s="82"/>
    <row r="109" ht="14.25" customHeight="1" s="82"/>
    <row r="110" ht="14.25" customHeight="1" s="82"/>
    <row r="111" ht="14.25" customHeight="1" s="82"/>
    <row r="112" ht="14.25" customHeight="1" s="82"/>
    <row r="113" ht="14.25" customHeight="1" s="82"/>
    <row r="114" ht="14.25" customHeight="1" s="82"/>
    <row r="115" ht="14.25" customHeight="1" s="82"/>
    <row r="116" ht="14.25" customHeight="1" s="82"/>
    <row r="117" ht="14.25" customHeight="1" s="82"/>
    <row r="118" ht="14.25" customHeight="1" s="82"/>
    <row r="119" ht="14.25" customHeight="1" s="82"/>
    <row r="120" ht="14.25" customHeight="1" s="82"/>
    <row r="121" ht="14.25" customHeight="1" s="82"/>
    <row r="122" ht="14.25" customHeight="1" s="82"/>
    <row r="123" ht="14.25" customHeight="1" s="82"/>
    <row r="124" ht="14.25" customHeight="1" s="82"/>
    <row r="125" ht="14.25" customHeight="1" s="82"/>
    <row r="126" ht="14.25" customHeight="1" s="82"/>
    <row r="127" ht="14.25" customHeight="1" s="82"/>
    <row r="128" ht="14.25" customHeight="1" s="82"/>
    <row r="129" ht="14.25" customHeight="1" s="82"/>
    <row r="130" ht="14.25" customHeight="1" s="82"/>
    <row r="131" ht="14.25" customHeight="1" s="82"/>
    <row r="132" ht="14.25" customHeight="1" s="82"/>
    <row r="133" ht="14.25" customHeight="1" s="82"/>
    <row r="134" ht="14.25" customHeight="1" s="82"/>
    <row r="135" ht="14.25" customHeight="1" s="82"/>
    <row r="136" ht="14.25" customHeight="1" s="82"/>
    <row r="137" ht="14.25" customHeight="1" s="82"/>
    <row r="138" ht="14.25" customHeight="1" s="82"/>
    <row r="139" ht="14.25" customHeight="1" s="82"/>
    <row r="140" ht="14.25" customHeight="1" s="82"/>
    <row r="141" ht="14.25" customHeight="1" s="82"/>
    <row r="142" ht="14.25" customHeight="1" s="82"/>
    <row r="143" ht="14.25" customHeight="1" s="82"/>
    <row r="144" ht="14.25" customHeight="1" s="82"/>
    <row r="145" ht="14.25" customHeight="1" s="82"/>
    <row r="146" ht="14.25" customHeight="1" s="82"/>
    <row r="147" ht="14.25" customHeight="1" s="82"/>
    <row r="148" ht="14.25" customHeight="1" s="82"/>
    <row r="149" ht="14.25" customHeight="1" s="82"/>
    <row r="150" ht="14.25" customHeight="1" s="82"/>
    <row r="151" ht="14.25" customHeight="1" s="82"/>
    <row r="152" ht="14.25" customHeight="1" s="82"/>
    <row r="153" ht="14.25" customHeight="1" s="82"/>
    <row r="154" ht="14.25" customHeight="1" s="82"/>
    <row r="155" ht="14.25" customHeight="1" s="82"/>
    <row r="156" ht="14.25" customHeight="1" s="82"/>
    <row r="157" ht="14.25" customHeight="1" s="82"/>
    <row r="158" ht="14.25" customHeight="1" s="82"/>
    <row r="159" ht="14.25" customHeight="1" s="82"/>
    <row r="160" ht="14.25" customHeight="1" s="82"/>
    <row r="161" ht="14.25" customHeight="1" s="82"/>
    <row r="162" ht="14.25" customHeight="1" s="82"/>
    <row r="163" ht="14.25" customHeight="1" s="82"/>
    <row r="164" ht="14.25" customHeight="1" s="82"/>
    <row r="165" ht="14.25" customHeight="1" s="82"/>
    <row r="166" ht="14.25" customHeight="1" s="82"/>
    <row r="167" ht="14.25" customHeight="1" s="82"/>
    <row r="168" ht="14.25" customHeight="1" s="82"/>
    <row r="169" ht="14.25" customHeight="1" s="82"/>
    <row r="170" ht="14.25" customHeight="1" s="82"/>
    <row r="171" ht="14.25" customHeight="1" s="82"/>
    <row r="172" ht="14.25" customHeight="1" s="82"/>
    <row r="173" ht="14.25" customHeight="1" s="82"/>
    <row r="174" ht="14.25" customHeight="1" s="82"/>
    <row r="175" ht="14.25" customHeight="1" s="82"/>
    <row r="176" ht="14.25" customHeight="1" s="82"/>
    <row r="177" ht="14.25" customHeight="1" s="82"/>
    <row r="178" ht="14.25" customHeight="1" s="82"/>
    <row r="179" ht="14.25" customHeight="1" s="82"/>
    <row r="180" ht="14.25" customHeight="1" s="82"/>
    <row r="181" ht="14.25" customHeight="1" s="82"/>
    <row r="182" ht="14.25" customHeight="1" s="82"/>
    <row r="183" ht="14.25" customHeight="1" s="82"/>
    <row r="184" ht="14.25" customHeight="1" s="82"/>
    <row r="185" ht="14.25" customHeight="1" s="82"/>
    <row r="186" ht="14.25" customHeight="1" s="82"/>
    <row r="187" ht="14.25" customHeight="1" s="82"/>
    <row r="188" ht="14.25" customHeight="1" s="82"/>
    <row r="189" ht="14.25" customHeight="1" s="82"/>
    <row r="190" ht="14.25" customHeight="1" s="82"/>
    <row r="191" ht="14.25" customHeight="1" s="82"/>
    <row r="192" ht="14.25" customHeight="1" s="82"/>
    <row r="193" ht="14.25" customHeight="1" s="82"/>
    <row r="194" ht="14.25" customHeight="1" s="82"/>
    <row r="195" ht="14.25" customHeight="1" s="82"/>
    <row r="196" ht="14.25" customHeight="1" s="82"/>
    <row r="197" ht="14.25" customHeight="1" s="82"/>
    <row r="198" ht="14.25" customHeight="1" s="82"/>
    <row r="199" ht="14.25" customHeight="1" s="82"/>
    <row r="200" ht="14.25" customHeight="1" s="82"/>
    <row r="201" ht="14.25" customHeight="1" s="82"/>
    <row r="202" ht="14.25" customHeight="1" s="82"/>
    <row r="203" ht="14.25" customHeight="1" s="82"/>
    <row r="204" ht="14.25" customHeight="1" s="82"/>
    <row r="205" ht="14.25" customHeight="1" s="82"/>
    <row r="206" ht="14.25" customHeight="1" s="82"/>
    <row r="207" ht="14.25" customHeight="1" s="82"/>
    <row r="208" ht="14.25" customHeight="1" s="82"/>
    <row r="209" ht="14.25" customHeight="1" s="82"/>
    <row r="210" ht="14.25" customHeight="1" s="82"/>
    <row r="211" ht="14.25" customHeight="1" s="82"/>
    <row r="212" ht="14.25" customHeight="1" s="82"/>
    <row r="213" ht="14.25" customHeight="1" s="82"/>
    <row r="214" ht="14.25" customHeight="1" s="82"/>
    <row r="215" ht="14.25" customHeight="1" s="82"/>
    <row r="216" ht="14.25" customHeight="1" s="82"/>
    <row r="217" ht="14.25" customHeight="1" s="82"/>
    <row r="218" ht="14.25" customHeight="1" s="82"/>
    <row r="219" ht="14.25" customHeight="1" s="82"/>
    <row r="220" ht="14.25" customHeight="1" s="82"/>
    <row r="221" ht="14.25" customHeight="1" s="82"/>
    <row r="222" ht="14.25" customHeight="1" s="82"/>
    <row r="223" ht="14.25" customHeight="1" s="82"/>
    <row r="224" ht="14.25" customHeight="1" s="82"/>
    <row r="225" ht="14.25" customHeight="1" s="82"/>
    <row r="226" ht="14.25" customHeight="1" s="82"/>
    <row r="227" ht="14.25" customHeight="1" s="82"/>
    <row r="228" ht="14.25" customHeight="1" s="82"/>
    <row r="229" ht="14.25" customHeight="1" s="82"/>
    <row r="230" ht="14.25" customHeight="1" s="82"/>
    <row r="231" ht="14.25" customHeight="1" s="82"/>
    <row r="232" ht="14.25" customHeight="1" s="82"/>
    <row r="233" ht="14.25" customHeight="1" s="82"/>
    <row r="234" ht="14.25" customHeight="1" s="82"/>
    <row r="235" ht="14.25" customHeight="1" s="82"/>
    <row r="236" ht="14.25" customHeight="1" s="82"/>
    <row r="237" ht="14.25" customHeight="1" s="82"/>
    <row r="238" ht="14.25" customHeight="1" s="82"/>
    <row r="239" ht="14.25" customHeight="1" s="82"/>
    <row r="240" ht="14.25" customHeight="1" s="82"/>
    <row r="241" ht="14.25" customHeight="1" s="82"/>
    <row r="242" ht="14.25" customHeight="1" s="82"/>
    <row r="243" ht="14.25" customHeight="1" s="82"/>
    <row r="244" ht="14.25" customHeight="1" s="82"/>
    <row r="245" ht="14.25" customHeight="1" s="82"/>
    <row r="246" ht="14.25" customHeight="1" s="82"/>
    <row r="247" ht="14.25" customHeight="1" s="82"/>
    <row r="248" ht="14.25" customHeight="1" s="82"/>
    <row r="249" ht="14.25" customHeight="1" s="82"/>
    <row r="250" ht="14.25" customHeight="1" s="82"/>
    <row r="251" ht="14.25" customHeight="1" s="82"/>
    <row r="252" ht="14.25" customHeight="1" s="82"/>
    <row r="253" ht="14.25" customHeight="1" s="82"/>
    <row r="254" ht="14.25" customHeight="1" s="82"/>
    <row r="255" ht="14.25" customHeight="1" s="82"/>
    <row r="256" ht="14.25" customHeight="1" s="82"/>
    <row r="257" ht="14.25" customHeight="1" s="82"/>
    <row r="258" ht="14.25" customHeight="1" s="82"/>
    <row r="259" ht="14.25" customHeight="1" s="82"/>
    <row r="260" ht="14.25" customHeight="1" s="82"/>
    <row r="261" ht="14.25" customHeight="1" s="82"/>
    <row r="262" ht="14.25" customHeight="1" s="82"/>
    <row r="263" ht="14.25" customHeight="1" s="82"/>
    <row r="264" ht="14.25" customHeight="1" s="82"/>
    <row r="265" ht="14.25" customHeight="1" s="82"/>
    <row r="266" ht="14.25" customHeight="1" s="82"/>
    <row r="267" ht="14.25" customHeight="1" s="82"/>
    <row r="268" ht="14.25" customHeight="1" s="82"/>
    <row r="269" ht="14.25" customHeight="1" s="82"/>
    <row r="270" ht="14.25" customHeight="1" s="82"/>
    <row r="271" ht="14.25" customHeight="1" s="82"/>
    <row r="272" ht="14.25" customHeight="1" s="82"/>
    <row r="273" ht="14.25" customHeight="1" s="82"/>
    <row r="274" ht="14.25" customHeight="1" s="82"/>
    <row r="275" ht="14.25" customHeight="1" s="82"/>
    <row r="276" ht="14.25" customHeight="1" s="82"/>
    <row r="277" ht="14.25" customHeight="1" s="82"/>
    <row r="278" ht="14.25" customHeight="1" s="82"/>
    <row r="279" ht="14.25" customHeight="1" s="82"/>
    <row r="280" ht="14.25" customHeight="1" s="82"/>
    <row r="281" ht="14.25" customHeight="1" s="82"/>
    <row r="282" ht="14.25" customHeight="1" s="82"/>
    <row r="283" ht="14.25" customHeight="1" s="82"/>
    <row r="284" ht="14.25" customHeight="1" s="82"/>
    <row r="285" ht="14.25" customHeight="1" s="82"/>
    <row r="286" ht="14.25" customHeight="1" s="82"/>
    <row r="287" ht="14.25" customHeight="1" s="82"/>
    <row r="288" ht="14.25" customHeight="1" s="82"/>
    <row r="289" ht="14.25" customHeight="1" s="82"/>
    <row r="290" ht="14.25" customHeight="1" s="82"/>
    <row r="291" ht="14.25" customHeight="1" s="82"/>
    <row r="292" ht="14.25" customHeight="1" s="82"/>
    <row r="293" ht="14.25" customHeight="1" s="82"/>
    <row r="294" ht="14.25" customHeight="1" s="82"/>
    <row r="295" ht="14.25" customHeight="1" s="82"/>
    <row r="296" ht="14.25" customHeight="1" s="82"/>
    <row r="297" ht="14.25" customHeight="1" s="82"/>
    <row r="298" ht="14.25" customHeight="1" s="82"/>
    <row r="299" ht="14.25" customHeight="1" s="82"/>
    <row r="300" ht="14.25" customHeight="1" s="82"/>
    <row r="301" ht="14.25" customHeight="1" s="82"/>
    <row r="302" ht="14.25" customHeight="1" s="82"/>
    <row r="303" ht="14.25" customHeight="1" s="82"/>
    <row r="304" ht="14.25" customHeight="1" s="82"/>
    <row r="305" ht="14.25" customHeight="1" s="82"/>
    <row r="306" ht="14.25" customHeight="1" s="82"/>
    <row r="307" ht="14.25" customHeight="1" s="82"/>
    <row r="308" ht="14.25" customHeight="1" s="82"/>
    <row r="309" ht="14.25" customHeight="1" s="82"/>
    <row r="310" ht="14.25" customHeight="1" s="82"/>
    <row r="311" ht="14.25" customHeight="1" s="82"/>
    <row r="312" ht="14.25" customHeight="1" s="82"/>
    <row r="313" ht="14.25" customHeight="1" s="82"/>
    <row r="314" ht="14.25" customHeight="1" s="82"/>
    <row r="315" ht="14.25" customHeight="1" s="82"/>
    <row r="316" ht="14.25" customHeight="1" s="82"/>
    <row r="317" ht="14.25" customHeight="1" s="82"/>
    <row r="318" ht="14.25" customHeight="1" s="82"/>
    <row r="319" ht="14.25" customHeight="1" s="82"/>
    <row r="320" ht="14.25" customHeight="1" s="82"/>
    <row r="321" ht="14.25" customHeight="1" s="82"/>
    <row r="322" ht="14.25" customHeight="1" s="82"/>
    <row r="323" ht="14.25" customHeight="1" s="82"/>
    <row r="324" ht="14.25" customHeight="1" s="82"/>
    <row r="325" ht="14.25" customHeight="1" s="82"/>
    <row r="326" ht="14.25" customHeight="1" s="82"/>
    <row r="327" ht="14.25" customHeight="1" s="82"/>
    <row r="328" ht="14.25" customHeight="1" s="82"/>
    <row r="329" ht="14.25" customHeight="1" s="82"/>
    <row r="330" ht="14.25" customHeight="1" s="82"/>
    <row r="331" ht="14.25" customHeight="1" s="82"/>
    <row r="332" ht="14.25" customHeight="1" s="82"/>
    <row r="333" ht="14.25" customHeight="1" s="82"/>
    <row r="334" ht="14.25" customHeight="1" s="82"/>
    <row r="335" ht="14.25" customHeight="1" s="82"/>
    <row r="336" ht="14.25" customHeight="1" s="82"/>
    <row r="337" ht="14.25" customHeight="1" s="82"/>
    <row r="338" ht="14.25" customHeight="1" s="82"/>
    <row r="339" ht="14.25" customHeight="1" s="82"/>
    <row r="340" ht="14.25" customHeight="1" s="82"/>
    <row r="341" ht="14.25" customHeight="1" s="82"/>
    <row r="342" ht="14.25" customHeight="1" s="82"/>
    <row r="343" ht="14.25" customHeight="1" s="82"/>
    <row r="344" ht="14.25" customHeight="1" s="82"/>
    <row r="345" ht="14.25" customHeight="1" s="82"/>
    <row r="346" ht="14.25" customHeight="1" s="82"/>
    <row r="347" ht="14.25" customHeight="1" s="82"/>
    <row r="348" ht="14.25" customHeight="1" s="82"/>
    <row r="349" ht="14.25" customHeight="1" s="82"/>
    <row r="350" ht="14.25" customHeight="1" s="82"/>
    <row r="351" ht="14.25" customHeight="1" s="82"/>
    <row r="352" ht="14.25" customHeight="1" s="82"/>
    <row r="353" ht="14.25" customHeight="1" s="82"/>
    <row r="354" ht="14.25" customHeight="1" s="82"/>
    <row r="355" ht="14.25" customHeight="1" s="82"/>
    <row r="356" ht="14.25" customHeight="1" s="82"/>
    <row r="357" ht="14.25" customHeight="1" s="82"/>
    <row r="358" ht="14.25" customHeight="1" s="82"/>
    <row r="359" ht="14.25" customHeight="1" s="82"/>
    <row r="360" ht="14.25" customHeight="1" s="82"/>
    <row r="361" ht="14.25" customHeight="1" s="82"/>
    <row r="362" ht="14.25" customHeight="1" s="82"/>
    <row r="363" ht="14.25" customHeight="1" s="82"/>
    <row r="364" ht="14.25" customHeight="1" s="82"/>
    <row r="365" ht="14.25" customHeight="1" s="82"/>
    <row r="366" ht="14.25" customHeight="1" s="82"/>
    <row r="367" ht="14.25" customHeight="1" s="82"/>
    <row r="368" ht="14.25" customHeight="1" s="82"/>
    <row r="369" ht="14.25" customHeight="1" s="82"/>
    <row r="370" ht="14.25" customHeight="1" s="82"/>
    <row r="371" ht="14.25" customHeight="1" s="82"/>
    <row r="372" ht="14.25" customHeight="1" s="82"/>
    <row r="373" ht="14.25" customHeight="1" s="82"/>
    <row r="374" ht="14.25" customHeight="1" s="82"/>
    <row r="375" ht="14.25" customHeight="1" s="82"/>
    <row r="376" ht="14.25" customHeight="1" s="82"/>
    <row r="377" ht="14.25" customHeight="1" s="82"/>
    <row r="378" ht="14.25" customHeight="1" s="82"/>
    <row r="379" ht="14.25" customHeight="1" s="82"/>
    <row r="380" ht="14.25" customHeight="1" s="82"/>
    <row r="381" ht="14.25" customHeight="1" s="82"/>
    <row r="382" ht="14.25" customHeight="1" s="82"/>
    <row r="383" ht="14.25" customHeight="1" s="82"/>
    <row r="384" ht="14.25" customHeight="1" s="82"/>
    <row r="385" ht="14.25" customHeight="1" s="82"/>
    <row r="386" ht="14.25" customHeight="1" s="82"/>
    <row r="387" ht="14.25" customHeight="1" s="82"/>
    <row r="388" ht="14.25" customHeight="1" s="82"/>
    <row r="389" ht="14.25" customHeight="1" s="82"/>
    <row r="390" ht="14.25" customHeight="1" s="82"/>
    <row r="391" ht="14.25" customHeight="1" s="82"/>
    <row r="392" ht="14.25" customHeight="1" s="82"/>
    <row r="393" ht="14.25" customHeight="1" s="82"/>
    <row r="394" ht="14.25" customHeight="1" s="82"/>
    <row r="395" ht="14.25" customHeight="1" s="82"/>
    <row r="396" ht="14.25" customHeight="1" s="82"/>
    <row r="397" ht="14.25" customHeight="1" s="82"/>
    <row r="398" ht="14.25" customHeight="1" s="82"/>
    <row r="399" ht="14.25" customHeight="1" s="82"/>
    <row r="400" ht="14.25" customHeight="1" s="82"/>
    <row r="401" ht="14.25" customHeight="1" s="82"/>
    <row r="402" ht="14.25" customHeight="1" s="82"/>
    <row r="403" ht="14.25" customHeight="1" s="82"/>
    <row r="404" ht="14.25" customHeight="1" s="82"/>
    <row r="405" ht="14.25" customHeight="1" s="82"/>
    <row r="406" ht="14.25" customHeight="1" s="82"/>
    <row r="407" ht="14.25" customHeight="1" s="82"/>
    <row r="408" ht="14.25" customHeight="1" s="82"/>
    <row r="409" ht="14.25" customHeight="1" s="82"/>
    <row r="410" ht="14.25" customHeight="1" s="82"/>
    <row r="411" ht="14.25" customHeight="1" s="82"/>
    <row r="412" ht="14.25" customHeight="1" s="82"/>
    <row r="413" ht="14.25" customHeight="1" s="82"/>
    <row r="414" ht="14.25" customHeight="1" s="82"/>
    <row r="415" ht="14.25" customHeight="1" s="82"/>
    <row r="416" ht="14.25" customHeight="1" s="82"/>
    <row r="417" ht="14.25" customHeight="1" s="82"/>
    <row r="418" ht="14.25" customHeight="1" s="82"/>
    <row r="419" ht="14.25" customHeight="1" s="82"/>
    <row r="420" ht="14.25" customHeight="1" s="82"/>
    <row r="421" ht="14.25" customHeight="1" s="82"/>
    <row r="422" ht="14.25" customHeight="1" s="82"/>
    <row r="423" ht="14.25" customHeight="1" s="82"/>
    <row r="424" ht="14.25" customHeight="1" s="82"/>
    <row r="425" ht="14.25" customHeight="1" s="82"/>
    <row r="426" ht="14.25" customHeight="1" s="82"/>
    <row r="427" ht="14.25" customHeight="1" s="82"/>
    <row r="428" ht="14.25" customHeight="1" s="82"/>
    <row r="429" ht="14.25" customHeight="1" s="82"/>
    <row r="430" ht="14.25" customHeight="1" s="82"/>
    <row r="431" ht="14.25" customHeight="1" s="82"/>
    <row r="432" ht="14.25" customHeight="1" s="82"/>
    <row r="433" ht="14.25" customHeight="1" s="82"/>
    <row r="434" ht="14.25" customHeight="1" s="82"/>
    <row r="435" ht="14.25" customHeight="1" s="82"/>
    <row r="436" ht="14.25" customHeight="1" s="82"/>
    <row r="437" ht="14.25" customHeight="1" s="82"/>
    <row r="438" ht="14.25" customHeight="1" s="82"/>
    <row r="439" ht="14.25" customHeight="1" s="82"/>
    <row r="440" ht="14.25" customHeight="1" s="82"/>
    <row r="441" ht="14.25" customHeight="1" s="82"/>
    <row r="442" ht="14.25" customHeight="1" s="82"/>
    <row r="443" ht="14.25" customHeight="1" s="82"/>
    <row r="444" ht="14.25" customHeight="1" s="82"/>
    <row r="445" ht="14.25" customHeight="1" s="82"/>
    <row r="446" ht="14.25" customHeight="1" s="82"/>
    <row r="447" ht="14.25" customHeight="1" s="82"/>
    <row r="448" ht="14.25" customHeight="1" s="82"/>
    <row r="449" ht="14.25" customHeight="1" s="82"/>
    <row r="450" ht="14.25" customHeight="1" s="82"/>
    <row r="451" ht="14.25" customHeight="1" s="82"/>
    <row r="452" ht="14.25" customHeight="1" s="82"/>
    <row r="453" ht="14.25" customHeight="1" s="82"/>
    <row r="454" ht="14.25" customHeight="1" s="82"/>
    <row r="455" ht="14.25" customHeight="1" s="82"/>
    <row r="456" ht="14.25" customHeight="1" s="82"/>
    <row r="457" ht="14.25" customHeight="1" s="82"/>
    <row r="458" ht="14.25" customHeight="1" s="82"/>
    <row r="459" ht="14.25" customHeight="1" s="82"/>
    <row r="460" ht="14.25" customHeight="1" s="82"/>
    <row r="461" ht="14.25" customHeight="1" s="82"/>
    <row r="462" ht="14.25" customHeight="1" s="82"/>
    <row r="463" ht="14.25" customHeight="1" s="82"/>
    <row r="464" ht="14.25" customHeight="1" s="82"/>
    <row r="465" ht="14.25" customHeight="1" s="82"/>
    <row r="466" ht="14.25" customHeight="1" s="82"/>
    <row r="467" ht="14.25" customHeight="1" s="82"/>
    <row r="468" ht="14.25" customHeight="1" s="82"/>
    <row r="469" ht="14.25" customHeight="1" s="82"/>
    <row r="470" ht="14.25" customHeight="1" s="82"/>
    <row r="471" ht="14.25" customHeight="1" s="82"/>
    <row r="472" ht="14.25" customHeight="1" s="82"/>
    <row r="473" ht="14.25" customHeight="1" s="82"/>
    <row r="474" ht="14.25" customHeight="1" s="82"/>
    <row r="475" ht="14.25" customHeight="1" s="82"/>
    <row r="476" ht="14.25" customHeight="1" s="82"/>
    <row r="477" ht="14.25" customHeight="1" s="82"/>
    <row r="478" ht="14.25" customHeight="1" s="82"/>
    <row r="479" ht="14.25" customHeight="1" s="82"/>
    <row r="480" ht="14.25" customHeight="1" s="82"/>
    <row r="481" ht="14.25" customHeight="1" s="82"/>
    <row r="482" ht="14.25" customHeight="1" s="82"/>
    <row r="483" ht="14.25" customHeight="1" s="82"/>
    <row r="484" ht="14.25" customHeight="1" s="82"/>
    <row r="485" ht="14.25" customHeight="1" s="82"/>
    <row r="486" ht="14.25" customHeight="1" s="82"/>
    <row r="487" ht="14.25" customHeight="1" s="82"/>
    <row r="488" ht="14.25" customHeight="1" s="82"/>
    <row r="489" ht="14.25" customHeight="1" s="82"/>
    <row r="490" ht="14.25" customHeight="1" s="82"/>
    <row r="491" ht="14.25" customHeight="1" s="82"/>
    <row r="492" ht="14.25" customHeight="1" s="82"/>
    <row r="493" ht="14.25" customHeight="1" s="82"/>
    <row r="494" ht="14.25" customHeight="1" s="82"/>
    <row r="495" ht="14.25" customHeight="1" s="82"/>
    <row r="496" ht="14.25" customHeight="1" s="82"/>
    <row r="497" ht="14.25" customHeight="1" s="82"/>
    <row r="498" ht="14.25" customHeight="1" s="82"/>
    <row r="499" ht="14.25" customHeight="1" s="82"/>
    <row r="500" ht="14.25" customHeight="1" s="82"/>
    <row r="501" ht="14.25" customHeight="1" s="82"/>
    <row r="502" ht="14.25" customHeight="1" s="82"/>
    <row r="503" ht="14.25" customHeight="1" s="82"/>
    <row r="504" ht="14.25" customHeight="1" s="82"/>
    <row r="505" ht="14.25" customHeight="1" s="82"/>
    <row r="506" ht="14.25" customHeight="1" s="82"/>
    <row r="507" ht="14.25" customHeight="1" s="82"/>
    <row r="508" ht="14.25" customHeight="1" s="82"/>
    <row r="509" ht="14.25" customHeight="1" s="82"/>
    <row r="510" ht="14.25" customHeight="1" s="82"/>
    <row r="511" ht="14.25" customHeight="1" s="82"/>
    <row r="512" ht="14.25" customHeight="1" s="82"/>
    <row r="513" ht="14.25" customHeight="1" s="82"/>
    <row r="514" ht="14.25" customHeight="1" s="82"/>
    <row r="515" ht="14.25" customHeight="1" s="82"/>
    <row r="516" ht="14.25" customHeight="1" s="82"/>
    <row r="517" ht="14.25" customHeight="1" s="82"/>
    <row r="518" ht="14.25" customHeight="1" s="82"/>
    <row r="519" ht="14.25" customHeight="1" s="82"/>
    <row r="520" ht="14.25" customHeight="1" s="82"/>
    <row r="521" ht="14.25" customHeight="1" s="82"/>
    <row r="522" ht="14.25" customHeight="1" s="82"/>
    <row r="523" ht="14.25" customHeight="1" s="82"/>
    <row r="524" ht="14.25" customHeight="1" s="82"/>
    <row r="525" ht="14.25" customHeight="1" s="82"/>
    <row r="526" ht="14.25" customHeight="1" s="82"/>
    <row r="527" ht="14.25" customHeight="1" s="82"/>
    <row r="528" ht="14.25" customHeight="1" s="82"/>
    <row r="529" ht="14.25" customHeight="1" s="82"/>
    <row r="530" ht="14.25" customHeight="1" s="82"/>
    <row r="531" ht="14.25" customHeight="1" s="82"/>
    <row r="532" ht="14.25" customHeight="1" s="82"/>
    <row r="533" ht="14.25" customHeight="1" s="82"/>
    <row r="534" ht="14.25" customHeight="1" s="82"/>
    <row r="535" ht="14.25" customHeight="1" s="82"/>
    <row r="536" ht="14.25" customHeight="1" s="82"/>
    <row r="537" ht="14.25" customHeight="1" s="82"/>
    <row r="538" ht="14.25" customHeight="1" s="82"/>
    <row r="539" ht="14.25" customHeight="1" s="82"/>
    <row r="540" ht="14.25" customHeight="1" s="82"/>
    <row r="541" ht="14.25" customHeight="1" s="82"/>
    <row r="542" ht="14.25" customHeight="1" s="82"/>
    <row r="543" ht="14.25" customHeight="1" s="82"/>
    <row r="544" ht="14.25" customHeight="1" s="82"/>
    <row r="545" ht="14.25" customHeight="1" s="82"/>
    <row r="546" ht="14.25" customHeight="1" s="82"/>
    <row r="547" ht="14.25" customHeight="1" s="82"/>
    <row r="548" ht="14.25" customHeight="1" s="82"/>
    <row r="549" ht="14.25" customHeight="1" s="82"/>
    <row r="550" ht="14.25" customHeight="1" s="82"/>
    <row r="551" ht="14.25" customHeight="1" s="82"/>
    <row r="552" ht="14.25" customHeight="1" s="82"/>
    <row r="553" ht="14.25" customHeight="1" s="82"/>
    <row r="554" ht="14.25" customHeight="1" s="82"/>
    <row r="555" ht="14.25" customHeight="1" s="82"/>
    <row r="556" ht="14.25" customHeight="1" s="82"/>
    <row r="557" ht="14.25" customHeight="1" s="82"/>
    <row r="558" ht="14.25" customHeight="1" s="82"/>
    <row r="559" ht="14.25" customHeight="1" s="82"/>
    <row r="560" ht="14.25" customHeight="1" s="82"/>
    <row r="561" ht="14.25" customHeight="1" s="82"/>
    <row r="562" ht="14.25" customHeight="1" s="82"/>
    <row r="563" ht="14.25" customHeight="1" s="82"/>
    <row r="564" ht="14.25" customHeight="1" s="82"/>
    <row r="565" ht="14.25" customHeight="1" s="82"/>
    <row r="566" ht="14.25" customHeight="1" s="82"/>
    <row r="567" ht="14.25" customHeight="1" s="82"/>
    <row r="568" ht="14.25" customHeight="1" s="82"/>
    <row r="569" ht="14.25" customHeight="1" s="82"/>
    <row r="570" ht="14.25" customHeight="1" s="82"/>
    <row r="571" ht="14.25" customHeight="1" s="82"/>
    <row r="572" ht="14.25" customHeight="1" s="82"/>
    <row r="573" ht="14.25" customHeight="1" s="82"/>
    <row r="574" ht="14.25" customHeight="1" s="82"/>
    <row r="575" ht="14.25" customHeight="1" s="82"/>
    <row r="576" ht="14.25" customHeight="1" s="82"/>
    <row r="577" ht="14.25" customHeight="1" s="82"/>
    <row r="578" ht="14.25" customHeight="1" s="82"/>
    <row r="579" ht="14.25" customHeight="1" s="82"/>
    <row r="580" ht="14.25" customHeight="1" s="82"/>
    <row r="581" ht="14.25" customHeight="1" s="82"/>
    <row r="582" ht="14.25" customHeight="1" s="82"/>
    <row r="583" ht="14.25" customHeight="1" s="82"/>
    <row r="584" ht="14.25" customHeight="1" s="82"/>
    <row r="585" ht="14.25" customHeight="1" s="82"/>
    <row r="586" ht="14.25" customHeight="1" s="82"/>
    <row r="587" ht="14.25" customHeight="1" s="82"/>
    <row r="588" ht="14.25" customHeight="1" s="82"/>
    <row r="589" ht="14.25" customHeight="1" s="82"/>
    <row r="590" ht="14.25" customHeight="1" s="82"/>
    <row r="591" ht="14.25" customHeight="1" s="82"/>
    <row r="592" ht="14.25" customHeight="1" s="82"/>
    <row r="593" ht="14.25" customHeight="1" s="82"/>
    <row r="594" ht="14.25" customHeight="1" s="82"/>
    <row r="595" ht="14.25" customHeight="1" s="82"/>
    <row r="596" ht="14.25" customHeight="1" s="82"/>
    <row r="597" ht="14.25" customHeight="1" s="82"/>
    <row r="598" ht="14.25" customHeight="1" s="82"/>
    <row r="599" ht="14.25" customHeight="1" s="82"/>
    <row r="600" ht="14.25" customHeight="1" s="82"/>
    <row r="601" ht="14.25" customHeight="1" s="82"/>
    <row r="602" ht="14.25" customHeight="1" s="82"/>
    <row r="603" ht="14.25" customHeight="1" s="82"/>
    <row r="604" ht="14.25" customHeight="1" s="82"/>
    <row r="605" ht="14.25" customHeight="1" s="82"/>
    <row r="606" ht="14.25" customHeight="1" s="82"/>
    <row r="607" ht="14.25" customHeight="1" s="82"/>
    <row r="608" ht="14.25" customHeight="1" s="82"/>
    <row r="609" ht="14.25" customHeight="1" s="82"/>
    <row r="610" ht="14.25" customHeight="1" s="82"/>
    <row r="611" ht="14.25" customHeight="1" s="82"/>
    <row r="612" ht="14.25" customHeight="1" s="82"/>
    <row r="613" ht="14.25" customHeight="1" s="82"/>
    <row r="614" ht="14.25" customHeight="1" s="82"/>
    <row r="615" ht="14.25" customHeight="1" s="82"/>
    <row r="616" ht="14.25" customHeight="1" s="82"/>
    <row r="617" ht="14.25" customHeight="1" s="82"/>
    <row r="618" ht="14.25" customHeight="1" s="82"/>
    <row r="619" ht="14.25" customHeight="1" s="82"/>
    <row r="620" ht="14.25" customHeight="1" s="82"/>
    <row r="621" ht="14.25" customHeight="1" s="82"/>
    <row r="622" ht="14.25" customHeight="1" s="82"/>
    <row r="623" ht="14.25" customHeight="1" s="82"/>
    <row r="624" ht="14.25" customHeight="1" s="82"/>
    <row r="625" ht="14.25" customHeight="1" s="82"/>
    <row r="626" ht="14.25" customHeight="1" s="82"/>
    <row r="627" ht="14.25" customHeight="1" s="82"/>
    <row r="628" ht="14.25" customHeight="1" s="82"/>
    <row r="629" ht="14.25" customHeight="1" s="82"/>
    <row r="630" ht="14.25" customHeight="1" s="82"/>
    <row r="631" ht="14.25" customHeight="1" s="82"/>
    <row r="632" ht="14.25" customHeight="1" s="82"/>
    <row r="633" ht="14.25" customHeight="1" s="82"/>
    <row r="634" ht="14.25" customHeight="1" s="82"/>
    <row r="635" ht="14.25" customHeight="1" s="82"/>
    <row r="636" ht="14.25" customHeight="1" s="82"/>
    <row r="637" ht="14.25" customHeight="1" s="82"/>
    <row r="638" ht="14.25" customHeight="1" s="82"/>
    <row r="639" ht="14.25" customHeight="1" s="82"/>
    <row r="640" ht="14.25" customHeight="1" s="82"/>
    <row r="641" ht="14.25" customHeight="1" s="82"/>
    <row r="642" ht="14.25" customHeight="1" s="82"/>
    <row r="643" ht="14.25" customHeight="1" s="82"/>
    <row r="644" ht="14.25" customHeight="1" s="82"/>
    <row r="645" ht="14.25" customHeight="1" s="82"/>
    <row r="646" ht="14.25" customHeight="1" s="82"/>
    <row r="647" ht="14.25" customHeight="1" s="82"/>
    <row r="648" ht="14.25" customHeight="1" s="82"/>
    <row r="649" ht="14.25" customHeight="1" s="82"/>
    <row r="650" ht="14.25" customHeight="1" s="82"/>
    <row r="651" ht="14.25" customHeight="1" s="82"/>
    <row r="652" ht="14.25" customHeight="1" s="82"/>
    <row r="653" ht="14.25" customHeight="1" s="82"/>
    <row r="654" ht="14.25" customHeight="1" s="82"/>
    <row r="655" ht="14.25" customHeight="1" s="82"/>
    <row r="656" ht="14.25" customHeight="1" s="82"/>
    <row r="657" ht="14.25" customHeight="1" s="82"/>
    <row r="658" ht="14.25" customHeight="1" s="82"/>
    <row r="659" ht="14.25" customHeight="1" s="82"/>
    <row r="660" ht="14.25" customHeight="1" s="82"/>
    <row r="661" ht="14.25" customHeight="1" s="82"/>
    <row r="662" ht="14.25" customHeight="1" s="82"/>
    <row r="663" ht="14.25" customHeight="1" s="82"/>
    <row r="664" ht="14.25" customHeight="1" s="82"/>
    <row r="665" ht="14.25" customHeight="1" s="82"/>
    <row r="666" ht="14.25" customHeight="1" s="82"/>
    <row r="667" ht="14.25" customHeight="1" s="82"/>
    <row r="668" ht="14.25" customHeight="1" s="82"/>
    <row r="669" ht="14.25" customHeight="1" s="82"/>
    <row r="670" ht="14.25" customHeight="1" s="82"/>
    <row r="671" ht="14.25" customHeight="1" s="82"/>
    <row r="672" ht="14.25" customHeight="1" s="82"/>
    <row r="673" ht="14.25" customHeight="1" s="82"/>
    <row r="674" ht="14.25" customHeight="1" s="82"/>
    <row r="675" ht="14.25" customHeight="1" s="82"/>
    <row r="676" ht="14.25" customHeight="1" s="82"/>
    <row r="677" ht="14.25" customHeight="1" s="82"/>
    <row r="678" ht="14.25" customHeight="1" s="82"/>
    <row r="679" ht="14.25" customHeight="1" s="82"/>
    <row r="680" ht="14.25" customHeight="1" s="82"/>
    <row r="681" ht="14.25" customHeight="1" s="82"/>
    <row r="682" ht="14.25" customHeight="1" s="82"/>
    <row r="683" ht="14.25" customHeight="1" s="82"/>
    <row r="684" ht="14.25" customHeight="1" s="82"/>
    <row r="685" ht="14.25" customHeight="1" s="82"/>
    <row r="686" ht="14.25" customHeight="1" s="82"/>
    <row r="687" ht="14.25" customHeight="1" s="82"/>
    <row r="688" ht="14.25" customHeight="1" s="82"/>
    <row r="689" ht="14.25" customHeight="1" s="82"/>
    <row r="690" ht="14.25" customHeight="1" s="82"/>
    <row r="691" ht="14.25" customHeight="1" s="82"/>
    <row r="692" ht="14.25" customHeight="1" s="82"/>
    <row r="693" ht="14.25" customHeight="1" s="82"/>
    <row r="694" ht="14.25" customHeight="1" s="82"/>
    <row r="695" ht="14.25" customHeight="1" s="82"/>
    <row r="696" ht="14.25" customHeight="1" s="82"/>
    <row r="697" ht="14.25" customHeight="1" s="82"/>
    <row r="698" ht="14.25" customHeight="1" s="82"/>
    <row r="699" ht="14.25" customHeight="1" s="82"/>
    <row r="700" ht="14.25" customHeight="1" s="82"/>
    <row r="701" ht="14.25" customHeight="1" s="82"/>
    <row r="702" ht="14.25" customHeight="1" s="82"/>
    <row r="703" ht="14.25" customHeight="1" s="82"/>
    <row r="704" ht="14.25" customHeight="1" s="82"/>
    <row r="705" ht="14.25" customHeight="1" s="82"/>
    <row r="706" ht="14.25" customHeight="1" s="82"/>
    <row r="707" ht="14.25" customHeight="1" s="82"/>
    <row r="708" ht="14.25" customHeight="1" s="82"/>
    <row r="709" ht="14.25" customHeight="1" s="82"/>
    <row r="710" ht="14.25" customHeight="1" s="82"/>
    <row r="711" ht="14.25" customHeight="1" s="82"/>
    <row r="712" ht="14.25" customHeight="1" s="82"/>
    <row r="713" ht="14.25" customHeight="1" s="82"/>
    <row r="714" ht="14.25" customHeight="1" s="82"/>
    <row r="715" ht="14.25" customHeight="1" s="82"/>
    <row r="716" ht="14.25" customHeight="1" s="82"/>
    <row r="717" ht="14.25" customHeight="1" s="82"/>
    <row r="718" ht="14.25" customHeight="1" s="82"/>
    <row r="719" ht="14.25" customHeight="1" s="82"/>
    <row r="720" ht="14.25" customHeight="1" s="82"/>
    <row r="721" ht="14.25" customHeight="1" s="82"/>
    <row r="722" ht="14.25" customHeight="1" s="82"/>
    <row r="723" ht="14.25" customHeight="1" s="82"/>
    <row r="724" ht="14.25" customHeight="1" s="82"/>
    <row r="725" ht="14.25" customHeight="1" s="82"/>
    <row r="726" ht="14.25" customHeight="1" s="82"/>
    <row r="727" ht="14.25" customHeight="1" s="82"/>
    <row r="728" ht="14.25" customHeight="1" s="82"/>
    <row r="729" ht="14.25" customHeight="1" s="82"/>
    <row r="730" ht="14.25" customHeight="1" s="82"/>
    <row r="731" ht="14.25" customHeight="1" s="82"/>
    <row r="732" ht="14.25" customHeight="1" s="82"/>
    <row r="733" ht="14.25" customHeight="1" s="82"/>
    <row r="734" ht="14.25" customHeight="1" s="82"/>
    <row r="735" ht="14.25" customHeight="1" s="82"/>
    <row r="736" ht="14.25" customHeight="1" s="82"/>
    <row r="737" ht="14.25" customHeight="1" s="82"/>
    <row r="738" ht="14.25" customHeight="1" s="82"/>
    <row r="739" ht="14.25" customHeight="1" s="82"/>
    <row r="740" ht="14.25" customHeight="1" s="82"/>
    <row r="741" ht="14.25" customHeight="1" s="82"/>
    <row r="742" ht="14.25" customHeight="1" s="82"/>
    <row r="743" ht="14.25" customHeight="1" s="82"/>
    <row r="744" ht="14.25" customHeight="1" s="82"/>
    <row r="745" ht="14.25" customHeight="1" s="82"/>
    <row r="746" ht="14.25" customHeight="1" s="82"/>
    <row r="747" ht="14.25" customHeight="1" s="82"/>
    <row r="748" ht="14.25" customHeight="1" s="82"/>
    <row r="749" ht="14.25" customHeight="1" s="82"/>
    <row r="750" ht="14.25" customHeight="1" s="82"/>
    <row r="751" ht="14.25" customHeight="1" s="82"/>
    <row r="752" ht="14.25" customHeight="1" s="82"/>
    <row r="753" ht="14.25" customHeight="1" s="82"/>
    <row r="754" ht="14.25" customHeight="1" s="82"/>
    <row r="755" ht="14.25" customHeight="1" s="82"/>
    <row r="756" ht="14.25" customHeight="1" s="82"/>
    <row r="757" ht="14.25" customHeight="1" s="82"/>
    <row r="758" ht="14.25" customHeight="1" s="82"/>
    <row r="759" ht="14.25" customHeight="1" s="82"/>
    <row r="760" ht="14.25" customHeight="1" s="82"/>
    <row r="761" ht="14.25" customHeight="1" s="82"/>
    <row r="762" ht="14.25" customHeight="1" s="82"/>
    <row r="763" ht="14.25" customHeight="1" s="82"/>
    <row r="764" ht="14.25" customHeight="1" s="82"/>
    <row r="765" ht="14.25" customHeight="1" s="82"/>
    <row r="766" ht="14.25" customHeight="1" s="82"/>
    <row r="767" ht="14.25" customHeight="1" s="82"/>
    <row r="768" ht="14.25" customHeight="1" s="82"/>
    <row r="769" ht="14.25" customHeight="1" s="82"/>
    <row r="770" ht="14.25" customHeight="1" s="82"/>
    <row r="771" ht="14.25" customHeight="1" s="82"/>
    <row r="772" ht="14.25" customHeight="1" s="82"/>
    <row r="773" ht="14.25" customHeight="1" s="82"/>
    <row r="774" ht="14.25" customHeight="1" s="82"/>
    <row r="775" ht="14.25" customHeight="1" s="82"/>
    <row r="776" ht="14.25" customHeight="1" s="82"/>
    <row r="777" ht="14.25" customHeight="1" s="82"/>
    <row r="778" ht="14.25" customHeight="1" s="82"/>
    <row r="779" ht="14.25" customHeight="1" s="82"/>
    <row r="780" ht="14.25" customHeight="1" s="82"/>
    <row r="781" ht="14.25" customHeight="1" s="82"/>
    <row r="782" ht="14.25" customHeight="1" s="82"/>
    <row r="783" ht="14.25" customHeight="1" s="82"/>
    <row r="784" ht="14.25" customHeight="1" s="82"/>
    <row r="785" ht="14.25" customHeight="1" s="82"/>
    <row r="786" ht="14.25" customHeight="1" s="82"/>
    <row r="787" ht="14.25" customHeight="1" s="82"/>
    <row r="788" ht="14.25" customHeight="1" s="82"/>
    <row r="789" ht="14.25" customHeight="1" s="82"/>
    <row r="790" ht="14.25" customHeight="1" s="82"/>
    <row r="791" ht="14.25" customHeight="1" s="82"/>
    <row r="792" ht="14.25" customHeight="1" s="82"/>
    <row r="793" ht="14.25" customHeight="1" s="82"/>
    <row r="794" ht="14.25" customHeight="1" s="82"/>
    <row r="795" ht="14.25" customHeight="1" s="82"/>
    <row r="796" ht="14.25" customHeight="1" s="82"/>
    <row r="797" ht="14.25" customHeight="1" s="82"/>
    <row r="798" ht="14.25" customHeight="1" s="82"/>
    <row r="799" ht="14.25" customHeight="1" s="82"/>
    <row r="800" ht="14.25" customHeight="1" s="82"/>
    <row r="801" ht="14.25" customHeight="1" s="82"/>
    <row r="802" ht="14.25" customHeight="1" s="82"/>
    <row r="803" ht="14.25" customHeight="1" s="82"/>
    <row r="804" ht="14.25" customHeight="1" s="82"/>
    <row r="805" ht="14.25" customHeight="1" s="82"/>
    <row r="806" ht="14.25" customHeight="1" s="82"/>
    <row r="807" ht="14.25" customHeight="1" s="82"/>
    <row r="808" ht="14.25" customHeight="1" s="82"/>
    <row r="809" ht="14.25" customHeight="1" s="82"/>
    <row r="810" ht="14.25" customHeight="1" s="82"/>
    <row r="811" ht="14.25" customHeight="1" s="82"/>
    <row r="812" ht="14.25" customHeight="1" s="82"/>
    <row r="813" ht="14.25" customHeight="1" s="82"/>
    <row r="814" ht="14.25" customHeight="1" s="82"/>
    <row r="815" ht="14.25" customHeight="1" s="82"/>
    <row r="816" ht="14.25" customHeight="1" s="82"/>
    <row r="817" ht="14.25" customHeight="1" s="82"/>
    <row r="818" ht="14.25" customHeight="1" s="82"/>
    <row r="819" ht="14.25" customHeight="1" s="82"/>
    <row r="820" ht="14.25" customHeight="1" s="82"/>
    <row r="821" ht="14.25" customHeight="1" s="82"/>
    <row r="822" ht="14.25" customHeight="1" s="82"/>
    <row r="823" ht="14.25" customHeight="1" s="82"/>
    <row r="824" ht="14.25" customHeight="1" s="82"/>
    <row r="825" ht="14.25" customHeight="1" s="82"/>
    <row r="826" ht="14.25" customHeight="1" s="82"/>
    <row r="827" ht="14.25" customHeight="1" s="82"/>
    <row r="828" ht="14.25" customHeight="1" s="82"/>
    <row r="829" ht="14.25" customHeight="1" s="82"/>
    <row r="830" ht="14.25" customHeight="1" s="82"/>
    <row r="831" ht="14.25" customHeight="1" s="82"/>
    <row r="832" ht="14.25" customHeight="1" s="82"/>
    <row r="833" ht="14.25" customHeight="1" s="82"/>
    <row r="834" ht="14.25" customHeight="1" s="82"/>
    <row r="835" ht="14.25" customHeight="1" s="82"/>
    <row r="836" ht="14.25" customHeight="1" s="82"/>
    <row r="837" ht="14.25" customHeight="1" s="82"/>
    <row r="838" ht="14.25" customHeight="1" s="82"/>
    <row r="839" ht="14.25" customHeight="1" s="82"/>
    <row r="840" ht="14.25" customHeight="1" s="82"/>
    <row r="841" ht="14.25" customHeight="1" s="82"/>
    <row r="842" ht="14.25" customHeight="1" s="82"/>
    <row r="843" ht="14.25" customHeight="1" s="82"/>
    <row r="844" ht="14.25" customHeight="1" s="82"/>
    <row r="845" ht="14.25" customHeight="1" s="82"/>
    <row r="846" ht="14.25" customHeight="1" s="82"/>
    <row r="847" ht="14.25" customHeight="1" s="82"/>
    <row r="848" ht="14.25" customHeight="1" s="82"/>
    <row r="849" ht="14.25" customHeight="1" s="82"/>
    <row r="850" ht="14.25" customHeight="1" s="82"/>
    <row r="851" ht="14.25" customHeight="1" s="82"/>
    <row r="852" ht="14.25" customHeight="1" s="82"/>
    <row r="853" ht="14.25" customHeight="1" s="82"/>
    <row r="854" ht="14.25" customHeight="1" s="82"/>
    <row r="855" ht="14.25" customHeight="1" s="82"/>
    <row r="856" ht="14.25" customHeight="1" s="82"/>
    <row r="857" ht="14.25" customHeight="1" s="82"/>
    <row r="858" ht="14.25" customHeight="1" s="82"/>
    <row r="859" ht="14.25" customHeight="1" s="82"/>
    <row r="860" ht="14.25" customHeight="1" s="82"/>
    <row r="861" ht="14.25" customHeight="1" s="82"/>
    <row r="862" ht="14.25" customHeight="1" s="82"/>
    <row r="863" ht="14.25" customHeight="1" s="82"/>
    <row r="864" ht="14.25" customHeight="1" s="82"/>
    <row r="865" ht="14.25" customHeight="1" s="82"/>
    <row r="866" ht="14.25" customHeight="1" s="82"/>
    <row r="867" ht="14.25" customHeight="1" s="82"/>
    <row r="868" ht="14.25" customHeight="1" s="82"/>
    <row r="869" ht="14.25" customHeight="1" s="82"/>
    <row r="870" ht="14.25" customHeight="1" s="82"/>
    <row r="871" ht="14.25" customHeight="1" s="82"/>
    <row r="872" ht="14.25" customHeight="1" s="82"/>
    <row r="873" ht="14.25" customHeight="1" s="82"/>
    <row r="874" ht="14.25" customHeight="1" s="82"/>
    <row r="875" ht="14.25" customHeight="1" s="82"/>
    <row r="876" ht="14.25" customHeight="1" s="82"/>
    <row r="877" ht="14.25" customHeight="1" s="82"/>
    <row r="878" ht="14.25" customHeight="1" s="82"/>
    <row r="879" ht="14.25" customHeight="1" s="82"/>
    <row r="880" ht="14.25" customHeight="1" s="82"/>
    <row r="881" ht="14.25" customHeight="1" s="82"/>
    <row r="882" ht="14.25" customHeight="1" s="82"/>
    <row r="883" ht="14.25" customHeight="1" s="82"/>
    <row r="884" ht="14.25" customHeight="1" s="82"/>
    <row r="885" ht="14.25" customHeight="1" s="82"/>
    <row r="886" ht="14.25" customHeight="1" s="82"/>
    <row r="887" ht="14.25" customHeight="1" s="82"/>
    <row r="888" ht="14.25" customHeight="1" s="82"/>
    <row r="889" ht="14.25" customHeight="1" s="82"/>
    <row r="890" ht="14.25" customHeight="1" s="82"/>
    <row r="891" ht="14.25" customHeight="1" s="82"/>
    <row r="892" ht="14.25" customHeight="1" s="82"/>
    <row r="893" ht="14.25" customHeight="1" s="82"/>
    <row r="894" ht="14.25" customHeight="1" s="82"/>
    <row r="895" ht="14.25" customHeight="1" s="82"/>
    <row r="896" ht="14.25" customHeight="1" s="82"/>
    <row r="897" ht="14.25" customHeight="1" s="82"/>
    <row r="898" ht="14.25" customHeight="1" s="82"/>
    <row r="899" ht="14.25" customHeight="1" s="82"/>
    <row r="900" ht="14.25" customHeight="1" s="82"/>
    <row r="901" ht="14.25" customHeight="1" s="82"/>
    <row r="902" ht="14.25" customHeight="1" s="82"/>
    <row r="903" ht="14.25" customHeight="1" s="82"/>
    <row r="904" ht="14.25" customHeight="1" s="82"/>
    <row r="905" ht="14.25" customHeight="1" s="82"/>
    <row r="906" ht="14.25" customHeight="1" s="82"/>
    <row r="907" ht="14.25" customHeight="1" s="82"/>
    <row r="908" ht="14.25" customHeight="1" s="82"/>
    <row r="909" ht="14.25" customHeight="1" s="82"/>
    <row r="910" ht="14.25" customHeight="1" s="82"/>
    <row r="911" ht="14.25" customHeight="1" s="82"/>
    <row r="912" ht="14.25" customHeight="1" s="82"/>
    <row r="913" ht="14.25" customHeight="1" s="82"/>
    <row r="914" ht="14.25" customHeight="1" s="82"/>
    <row r="915" ht="14.25" customHeight="1" s="82"/>
    <row r="916" ht="14.25" customHeight="1" s="82"/>
    <row r="917" ht="14.25" customHeight="1" s="82"/>
    <row r="918" ht="14.25" customHeight="1" s="82"/>
    <row r="919" ht="14.25" customHeight="1" s="82"/>
    <row r="920" ht="14.25" customHeight="1" s="82"/>
    <row r="921" ht="14.25" customHeight="1" s="82"/>
    <row r="922" ht="14.25" customHeight="1" s="82"/>
    <row r="923" ht="14.25" customHeight="1" s="82"/>
    <row r="924" ht="14.25" customHeight="1" s="82"/>
    <row r="925" ht="14.25" customHeight="1" s="82"/>
    <row r="926" ht="14.25" customHeight="1" s="82"/>
    <row r="927" ht="14.25" customHeight="1" s="82"/>
    <row r="928" ht="14.25" customHeight="1" s="82"/>
    <row r="929" ht="14.25" customHeight="1" s="82"/>
    <row r="930" ht="14.25" customHeight="1" s="82"/>
    <row r="931" ht="14.25" customHeight="1" s="82"/>
    <row r="932" ht="14.25" customHeight="1" s="82"/>
    <row r="933" ht="14.25" customHeight="1" s="82"/>
    <row r="934" ht="14.25" customHeight="1" s="82"/>
    <row r="935" ht="14.25" customHeight="1" s="82"/>
    <row r="936" ht="14.25" customHeight="1" s="82"/>
    <row r="937" ht="14.25" customHeight="1" s="82"/>
    <row r="938" ht="14.25" customHeight="1" s="82"/>
    <row r="939" ht="14.25" customHeight="1" s="82"/>
    <row r="940" ht="14.25" customHeight="1" s="82"/>
    <row r="941" ht="14.25" customHeight="1" s="82"/>
    <row r="942" ht="14.25" customHeight="1" s="82"/>
    <row r="943" ht="14.25" customHeight="1" s="82"/>
    <row r="944" ht="14.25" customHeight="1" s="82"/>
    <row r="945" ht="14.25" customHeight="1" s="82"/>
    <row r="946" ht="14.25" customHeight="1" s="82"/>
    <row r="947" ht="14.25" customHeight="1" s="82"/>
    <row r="948" ht="14.25" customHeight="1" s="82"/>
    <row r="949" ht="14.25" customHeight="1" s="82"/>
    <row r="950" ht="14.25" customHeight="1" s="82"/>
    <row r="951" ht="14.25" customHeight="1" s="82"/>
    <row r="952" ht="14.25" customHeight="1" s="82"/>
    <row r="953" ht="14.25" customHeight="1" s="82"/>
    <row r="954" ht="14.25" customHeight="1" s="82"/>
    <row r="955" ht="14.25" customHeight="1" s="82"/>
    <row r="956" ht="14.25" customHeight="1" s="82"/>
    <row r="957" ht="14.25" customHeight="1" s="82"/>
    <row r="958" ht="14.25" customHeight="1" s="82"/>
    <row r="959" ht="14.25" customHeight="1" s="82"/>
    <row r="960" ht="14.25" customHeight="1" s="82"/>
    <row r="961" ht="14.25" customHeight="1" s="82"/>
    <row r="962" ht="14.25" customHeight="1" s="82"/>
    <row r="963" ht="14.25" customHeight="1" s="82"/>
    <row r="964" ht="14.25" customHeight="1" s="82"/>
    <row r="965" ht="14.25" customHeight="1" s="82"/>
    <row r="966" ht="14.25" customHeight="1" s="82"/>
    <row r="967" ht="14.25" customHeight="1" s="82"/>
    <row r="968" ht="14.25" customHeight="1" s="82"/>
    <row r="969" ht="14.25" customHeight="1" s="82"/>
    <row r="970" ht="14.25" customHeight="1" s="82"/>
    <row r="971" ht="14.25" customHeight="1" s="82"/>
    <row r="972" ht="14.25" customHeight="1" s="82"/>
    <row r="973" ht="14.25" customHeight="1" s="82"/>
    <row r="974" ht="14.25" customHeight="1" s="82"/>
    <row r="975" ht="14.25" customHeight="1" s="82"/>
    <row r="976" ht="14.25" customHeight="1" s="82"/>
    <row r="977" ht="14.25" customHeight="1" s="82"/>
    <row r="978" ht="14.25" customHeight="1" s="82"/>
    <row r="979" ht="14.25" customHeight="1" s="82"/>
    <row r="980" ht="14.25" customHeight="1" s="82"/>
    <row r="981" ht="14.25" customHeight="1" s="82"/>
    <row r="982" ht="14.25" customHeight="1" s="82"/>
    <row r="983" ht="14.25" customHeight="1" s="82"/>
    <row r="984" ht="14.25" customHeight="1" s="82"/>
    <row r="985" ht="14.25" customHeight="1" s="82"/>
    <row r="986" ht="14.25" customHeight="1" s="82"/>
    <row r="987" ht="14.25" customHeight="1" s="82"/>
    <row r="988" ht="14.25" customHeight="1" s="82"/>
    <row r="989" ht="14.25" customHeight="1" s="82"/>
    <row r="990" ht="14.25" customHeight="1" s="82"/>
    <row r="991" ht="14.25" customHeight="1" s="82"/>
    <row r="992" ht="14.25" customHeight="1" s="82"/>
    <row r="993" ht="14.25" customHeight="1" s="82"/>
    <row r="994" ht="14.25" customHeight="1" s="82"/>
    <row r="995" ht="14.25" customHeight="1" s="82"/>
    <row r="996" ht="14.25" customHeight="1" s="82"/>
    <row r="997" ht="14.25" customHeight="1" s="82"/>
    <row r="998" ht="14.25" customHeight="1" s="82"/>
    <row r="999" ht="14.25" customHeight="1" s="82"/>
    <row r="1000" ht="14.25" customHeight="1" s="82"/>
  </sheetData>
  <mergeCells count="3">
    <mergeCell ref="A19:G19"/>
    <mergeCell ref="A2:G2"/>
    <mergeCell ref="A1:G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tabColor rgb="FFC00000"/>
    <outlinePr summaryBelow="1" summaryRight="1"/>
    <pageSetUpPr/>
  </sheetPr>
  <dimension ref="A1:H110"/>
  <sheetViews>
    <sheetView showGridLines="0" workbookViewId="0">
      <selection activeCell="A1" sqref="A1"/>
    </sheetView>
  </sheetViews>
  <sheetFormatPr baseColWidth="8" defaultColWidth="14.43" defaultRowHeight="15" customHeight="1"/>
  <cols>
    <col width="36.71" customWidth="1" style="82" min="1" max="1"/>
    <col width="16.71" customWidth="1" style="82" min="2" max="2"/>
    <col width="12.71" customWidth="1" style="82" min="3" max="4"/>
    <col width="16.71" customWidth="1" style="82" min="5" max="6"/>
    <col width="12.71" customWidth="1" style="82" min="7" max="7"/>
    <col width="36.71" customWidth="1" style="82" min="8" max="8"/>
    <col width="8.710000000000001" customWidth="1" style="82" min="9" max="26"/>
  </cols>
  <sheetData>
    <row r="1" ht="30" customHeight="1" s="82">
      <c r="A1" s="91" t="inlineStr">
        <is>
          <t>Risk Flags &amp; Action Signals — Stocks &amp; Mutual Funds</t>
        </is>
      </c>
    </row>
    <row r="2" ht="30" customHeight="1" s="82">
      <c r="A2" s="92" t="inlineStr">
        <is>
          <t>⚙️ Auto-generated. All signals pull from analysis sheets. Update prices in input sheets to refresh.</t>
        </is>
      </c>
    </row>
    <row r="3" ht="14.25" customHeight="1" s="82"/>
    <row r="4" ht="21.75" customHeight="1" s="82">
      <c r="A4" s="94" t="inlineStr">
        <is>
          <t>📊 PORTFOLIO SIGNALS SUMMARY</t>
        </is>
      </c>
    </row>
    <row r="5" ht="19.5" customHeight="1" s="82">
      <c r="A5" s="33" t="inlineStr">
        <is>
          <t>Metric</t>
        </is>
      </c>
      <c r="B5" s="33" t="inlineStr">
        <is>
          <t>Count</t>
        </is>
      </c>
      <c r="C5" s="33" t="n"/>
      <c r="D5" s="33" t="n"/>
      <c r="E5" s="33" t="n"/>
      <c r="F5" s="33" t="n"/>
      <c r="G5" s="33" t="n"/>
      <c r="H5" s="33" t="n"/>
    </row>
    <row r="6" ht="19.5" customHeight="1" s="82">
      <c r="A6" s="59" t="inlineStr">
        <is>
          <t>Total stocks in portfolio</t>
        </is>
      </c>
      <c r="B6" s="95" t="n"/>
      <c r="C6" s="95" t="n"/>
      <c r="D6" s="95" t="n"/>
      <c r="E6" s="95" t="n"/>
      <c r="F6" s="95" t="n"/>
      <c r="G6" s="87" t="n"/>
      <c r="H6" s="75">
        <f>COUNTA('📥 Stock Data Input'!A4:A53)</f>
        <v/>
      </c>
    </row>
    <row r="7" ht="19.5" customHeight="1" s="82">
      <c r="A7" s="96" t="inlineStr">
        <is>
          <t>🟢 Strong performers (return &gt;20%)</t>
        </is>
      </c>
      <c r="B7" s="95" t="n"/>
      <c r="C7" s="95" t="n"/>
      <c r="D7" s="95" t="n"/>
      <c r="E7" s="95" t="n"/>
      <c r="F7" s="95" t="n"/>
      <c r="G7" s="87" t="n"/>
      <c r="H7" s="77">
        <f>COUNTIF('📊 Stock Analysis'!G4:G53,"&gt;0.2")</f>
        <v/>
      </c>
    </row>
    <row r="8" ht="19.5" customHeight="1" s="82">
      <c r="A8" s="97" t="inlineStr">
        <is>
          <t>🔴 Positions in loss (return &lt;0)</t>
        </is>
      </c>
      <c r="B8" s="95" t="n"/>
      <c r="C8" s="95" t="n"/>
      <c r="D8" s="95" t="n"/>
      <c r="E8" s="95" t="n"/>
      <c r="F8" s="95" t="n"/>
      <c r="G8" s="87" t="n"/>
      <c r="H8" s="79">
        <f>COUNTIF('📊 Stock Analysis'!G4:G53,"&lt;0")</f>
        <v/>
      </c>
    </row>
    <row r="9" ht="19.5" customHeight="1" s="82">
      <c r="A9" s="98" t="inlineStr">
        <is>
          <t>🟡 Underperforming vs Nifty</t>
        </is>
      </c>
      <c r="B9" s="95" t="n"/>
      <c r="C9" s="95" t="n"/>
      <c r="D9" s="95" t="n"/>
      <c r="E9" s="95" t="n"/>
      <c r="F9" s="95" t="n"/>
      <c r="G9" s="87" t="n"/>
      <c r="H9" s="81">
        <f>COUNTIF('📊 Stock Analysis'!K4:K53,"❌ Lag Nifty")</f>
        <v/>
      </c>
    </row>
    <row r="10" ht="19.5" customHeight="1" s="82">
      <c r="A10" s="98" t="inlineStr">
        <is>
          <t>⚠️ Tiny positions (current value &lt;₹10,000)</t>
        </is>
      </c>
      <c r="B10" s="95" t="n"/>
      <c r="C10" s="95" t="n"/>
      <c r="D10" s="95" t="n"/>
      <c r="E10" s="95" t="n"/>
      <c r="F10" s="95" t="n"/>
      <c r="G10" s="87" t="n"/>
      <c r="H10" s="81">
        <f>COUNTIF('📊 Stock Analysis'!E4:E53,"&lt;10000")</f>
        <v/>
      </c>
    </row>
    <row r="11" ht="19.5" customHeight="1" s="82">
      <c r="A11" s="59" t="inlineStr">
        <is>
          <t>Total MFs in portfolio</t>
        </is>
      </c>
      <c r="B11" s="95" t="n"/>
      <c r="C11" s="95" t="n"/>
      <c r="D11" s="95" t="n"/>
      <c r="E11" s="95" t="n"/>
      <c r="F11" s="95" t="n"/>
      <c r="G11" s="87" t="n"/>
      <c r="H11" s="75">
        <f>COUNTA('📥 MF Data Input'!A4:A43)</f>
        <v/>
      </c>
    </row>
    <row r="12" ht="19.5" customHeight="1" s="82">
      <c r="A12" s="96" t="inlineStr">
        <is>
          <t>🟢 MFs outperforming benchmark</t>
        </is>
      </c>
      <c r="B12" s="95" t="n"/>
      <c r="C12" s="95" t="n"/>
      <c r="D12" s="95" t="n"/>
      <c r="E12" s="95" t="n"/>
      <c r="F12" s="95" t="n"/>
      <c r="G12" s="87" t="n"/>
      <c r="H12" s="77">
        <f>COUNTIF('📊 MF Analysis'!K4:K43,"🟢 Outperforming")</f>
        <v/>
      </c>
    </row>
    <row r="13" ht="19.5" customHeight="1" s="82">
      <c r="A13" s="98" t="inlineStr">
        <is>
          <t>🟡 MFs below benchmark</t>
        </is>
      </c>
      <c r="B13" s="95" t="n"/>
      <c r="C13" s="95" t="n"/>
      <c r="D13" s="95" t="n"/>
      <c r="E13" s="95" t="n"/>
      <c r="F13" s="95" t="n"/>
      <c r="G13" s="87" t="n"/>
      <c r="H13" s="81">
        <f>COUNTIF('📊 MF Analysis'!K4:K43,"🟡 Below Benchmark")</f>
        <v/>
      </c>
    </row>
    <row r="14" ht="19.5" customHeight="1" s="82">
      <c r="A14" s="97" t="inlineStr">
        <is>
          <t>🔴 MFs with negative returns</t>
        </is>
      </c>
      <c r="B14" s="95" t="n"/>
      <c r="C14" s="95" t="n"/>
      <c r="D14" s="95" t="n"/>
      <c r="E14" s="95" t="n"/>
      <c r="F14" s="95" t="n"/>
      <c r="G14" s="87" t="n"/>
      <c r="H14" s="79">
        <f>COUNTIF('📊 MF Analysis'!K4:K43,"🔴 Negative Return")</f>
        <v/>
      </c>
    </row>
    <row r="15" ht="14.25" customHeight="1" s="82"/>
    <row r="16" ht="21.75" customHeight="1" s="82">
      <c r="A16" s="94" t="inlineStr">
        <is>
          <t>DETAILED ACTION FLAGS — STOCKS</t>
        </is>
      </c>
    </row>
    <row r="17" ht="24" customHeight="1" s="82">
      <c r="A17" s="33" t="inlineStr">
        <is>
          <t>Scrip Name</t>
        </is>
      </c>
      <c r="B17" s="33" t="inlineStr">
        <is>
          <t>Current Value (₹)</t>
        </is>
      </c>
      <c r="C17" s="33" t="inlineStr">
        <is>
          <t>Return %</t>
        </is>
      </c>
      <c r="D17" s="33" t="inlineStr">
        <is>
          <t>Ann. XIRR %</t>
        </is>
      </c>
      <c r="E17" s="33" t="inlineStr">
        <is>
          <t>vs Nifty</t>
        </is>
      </c>
      <c r="F17" s="33" t="inlineStr">
        <is>
          <t>Signal</t>
        </is>
      </c>
      <c r="G17" s="33" t="inlineStr">
        <is>
          <t>Priority</t>
        </is>
      </c>
      <c r="H17" s="33" t="inlineStr">
        <is>
          <t>Recommended Action</t>
        </is>
      </c>
    </row>
    <row r="18" ht="16.5" customHeight="1" s="82">
      <c r="A18" s="63">
        <f>'📥 Stock Data Input'!A5</f>
        <v/>
      </c>
      <c r="B18" s="51">
        <f>'📥 Stock Data Input'!K5</f>
        <v/>
      </c>
      <c r="C18" s="52">
        <f>'📥 Stock Data Input'!M5</f>
        <v/>
      </c>
      <c r="D18" s="52">
        <f>'📥 Stock Data Input'!N5</f>
        <v/>
      </c>
      <c r="E18" s="65">
        <f>'📊 Stock Analysis'!K5</f>
        <v/>
      </c>
      <c r="F18" s="65">
        <f>'📊 Stock Analysis'!L5</f>
        <v/>
      </c>
      <c r="G18" s="65">
        <f>IFERROR(IF('📥 Stock Data Input'!A5="","",IF('📥 Stock Data Input'!M5&lt;-0.3,"🔴 HIGH",IF(OR('📥 Stock Data Input'!M5&lt;0,'📥 Stock Data Input'!K5&lt;5000),"🟡 MEDIUM","🔵 LOW"))),"")</f>
        <v/>
      </c>
      <c r="H18" s="66">
        <f>'📊 Stock Analysis'!M5</f>
        <v/>
      </c>
    </row>
    <row r="19" ht="16.5" customHeight="1" s="82">
      <c r="A19" s="59">
        <f>'📥 Stock Data Input'!A6</f>
        <v/>
      </c>
      <c r="B19" s="42">
        <f>'📥 Stock Data Input'!K6</f>
        <v/>
      </c>
      <c r="C19" s="43">
        <f>'📥 Stock Data Input'!M6</f>
        <v/>
      </c>
      <c r="D19" s="43">
        <f>'📥 Stock Data Input'!N6</f>
        <v/>
      </c>
      <c r="E19" s="61">
        <f>'📊 Stock Analysis'!K6</f>
        <v/>
      </c>
      <c r="F19" s="61">
        <f>'📊 Stock Analysis'!L6</f>
        <v/>
      </c>
      <c r="G19" s="61">
        <f>IFERROR(IF('📥 Stock Data Input'!A6="","",IF('📥 Stock Data Input'!M6&lt;-0.3,"🔴 HIGH",IF(OR('📥 Stock Data Input'!M6&lt;0,'📥 Stock Data Input'!K6&lt;5000),"🟡 MEDIUM","🔵 LOW"))),"")</f>
        <v/>
      </c>
      <c r="H19" s="62">
        <f>'📊 Stock Analysis'!M6</f>
        <v/>
      </c>
    </row>
    <row r="20" ht="16.5" customHeight="1" s="82">
      <c r="A20" s="63">
        <f>'📥 Stock Data Input'!A7</f>
        <v/>
      </c>
      <c r="B20" s="51">
        <f>'📥 Stock Data Input'!K7</f>
        <v/>
      </c>
      <c r="C20" s="52">
        <f>'📥 Stock Data Input'!M7</f>
        <v/>
      </c>
      <c r="D20" s="52">
        <f>'📥 Stock Data Input'!N7</f>
        <v/>
      </c>
      <c r="E20" s="65">
        <f>'📊 Stock Analysis'!K7</f>
        <v/>
      </c>
      <c r="F20" s="65">
        <f>'📊 Stock Analysis'!L7</f>
        <v/>
      </c>
      <c r="G20" s="65">
        <f>IFERROR(IF('📥 Stock Data Input'!A7="","",IF('📥 Stock Data Input'!M7&lt;-0.3,"🔴 HIGH",IF(OR('📥 Stock Data Input'!M7&lt;0,'📥 Stock Data Input'!K7&lt;5000),"🟡 MEDIUM","🔵 LOW"))),"")</f>
        <v/>
      </c>
      <c r="H20" s="66">
        <f>'📊 Stock Analysis'!M7</f>
        <v/>
      </c>
    </row>
    <row r="21" ht="16.5" customHeight="1" s="82">
      <c r="A21" s="59">
        <f>'📥 Stock Data Input'!A8</f>
        <v/>
      </c>
      <c r="B21" s="42">
        <f>'📥 Stock Data Input'!K8</f>
        <v/>
      </c>
      <c r="C21" s="43">
        <f>'📥 Stock Data Input'!M8</f>
        <v/>
      </c>
      <c r="D21" s="43">
        <f>'📥 Stock Data Input'!N8</f>
        <v/>
      </c>
      <c r="E21" s="61">
        <f>'📊 Stock Analysis'!K8</f>
        <v/>
      </c>
      <c r="F21" s="61">
        <f>'📊 Stock Analysis'!L8</f>
        <v/>
      </c>
      <c r="G21" s="61">
        <f>IFERROR(IF('📥 Stock Data Input'!A8="","",IF('📥 Stock Data Input'!M8&lt;-0.3,"🔴 HIGH",IF(OR('📥 Stock Data Input'!M8&lt;0,'📥 Stock Data Input'!K8&lt;5000),"🟡 MEDIUM","🔵 LOW"))),"")</f>
        <v/>
      </c>
      <c r="H21" s="62">
        <f>'📊 Stock Analysis'!M8</f>
        <v/>
      </c>
    </row>
    <row r="22" ht="16.5" customHeight="1" s="82">
      <c r="A22" s="63">
        <f>'📥 Stock Data Input'!A9</f>
        <v/>
      </c>
      <c r="B22" s="51">
        <f>'📥 Stock Data Input'!K9</f>
        <v/>
      </c>
      <c r="C22" s="52">
        <f>'📥 Stock Data Input'!M9</f>
        <v/>
      </c>
      <c r="D22" s="52">
        <f>'📥 Stock Data Input'!N9</f>
        <v/>
      </c>
      <c r="E22" s="65">
        <f>'📊 Stock Analysis'!K9</f>
        <v/>
      </c>
      <c r="F22" s="65">
        <f>'📊 Stock Analysis'!L9</f>
        <v/>
      </c>
      <c r="G22" s="65">
        <f>IFERROR(IF('📥 Stock Data Input'!A9="","",IF('📥 Stock Data Input'!M9&lt;-0.3,"🔴 HIGH",IF(OR('📥 Stock Data Input'!M9&lt;0,'📥 Stock Data Input'!K9&lt;5000),"🟡 MEDIUM","🔵 LOW"))),"")</f>
        <v/>
      </c>
      <c r="H22" s="66">
        <f>'📊 Stock Analysis'!M9</f>
        <v/>
      </c>
    </row>
    <row r="23" ht="16.5" customHeight="1" s="82">
      <c r="A23" s="59">
        <f>'📥 Stock Data Input'!A10</f>
        <v/>
      </c>
      <c r="B23" s="42">
        <f>'📥 Stock Data Input'!K10</f>
        <v/>
      </c>
      <c r="C23" s="43">
        <f>'📥 Stock Data Input'!M10</f>
        <v/>
      </c>
      <c r="D23" s="43">
        <f>'📥 Stock Data Input'!N10</f>
        <v/>
      </c>
      <c r="E23" s="61">
        <f>'📊 Stock Analysis'!K10</f>
        <v/>
      </c>
      <c r="F23" s="61">
        <f>'📊 Stock Analysis'!L10</f>
        <v/>
      </c>
      <c r="G23" s="61">
        <f>IFERROR(IF('📥 Stock Data Input'!A10="","",IF('📥 Stock Data Input'!M10&lt;-0.3,"🔴 HIGH",IF(OR('📥 Stock Data Input'!M10&lt;0,'📥 Stock Data Input'!K10&lt;5000),"🟡 MEDIUM","🔵 LOW"))),"")</f>
        <v/>
      </c>
      <c r="H23" s="62">
        <f>'📊 Stock Analysis'!M10</f>
        <v/>
      </c>
    </row>
    <row r="24" ht="16.5" customHeight="1" s="82">
      <c r="A24" s="63">
        <f>'📥 Stock Data Input'!A11</f>
        <v/>
      </c>
      <c r="B24" s="51">
        <f>'📥 Stock Data Input'!K11</f>
        <v/>
      </c>
      <c r="C24" s="52">
        <f>'📥 Stock Data Input'!M11</f>
        <v/>
      </c>
      <c r="D24" s="52">
        <f>'📥 Stock Data Input'!N11</f>
        <v/>
      </c>
      <c r="E24" s="65">
        <f>'📊 Stock Analysis'!K11</f>
        <v/>
      </c>
      <c r="F24" s="65">
        <f>'📊 Stock Analysis'!L11</f>
        <v/>
      </c>
      <c r="G24" s="65">
        <f>IFERROR(IF('📥 Stock Data Input'!A11="","",IF('📥 Stock Data Input'!M11&lt;-0.3,"🔴 HIGH",IF(OR('📥 Stock Data Input'!M11&lt;0,'📥 Stock Data Input'!K11&lt;5000),"🟡 MEDIUM","🔵 LOW"))),"")</f>
        <v/>
      </c>
      <c r="H24" s="66">
        <f>'📊 Stock Analysis'!M11</f>
        <v/>
      </c>
    </row>
    <row r="25" ht="16.5" customHeight="1" s="82">
      <c r="A25" s="59">
        <f>'📥 Stock Data Input'!A12</f>
        <v/>
      </c>
      <c r="B25" s="42">
        <f>'📥 Stock Data Input'!K12</f>
        <v/>
      </c>
      <c r="C25" s="43">
        <f>'📥 Stock Data Input'!M12</f>
        <v/>
      </c>
      <c r="D25" s="43">
        <f>'📥 Stock Data Input'!N12</f>
        <v/>
      </c>
      <c r="E25" s="61">
        <f>'📊 Stock Analysis'!K12</f>
        <v/>
      </c>
      <c r="F25" s="61">
        <f>'📊 Stock Analysis'!L12</f>
        <v/>
      </c>
      <c r="G25" s="61">
        <f>IFERROR(IF('📥 Stock Data Input'!A12="","",IF('📥 Stock Data Input'!M12&lt;-0.3,"🔴 HIGH",IF(OR('📥 Stock Data Input'!M12&lt;0,'📥 Stock Data Input'!K12&lt;5000),"🟡 MEDIUM","🔵 LOW"))),"")</f>
        <v/>
      </c>
      <c r="H25" s="62">
        <f>'📊 Stock Analysis'!M12</f>
        <v/>
      </c>
    </row>
    <row r="26" ht="16.5" customHeight="1" s="82">
      <c r="A26" s="63">
        <f>'📥 Stock Data Input'!A13</f>
        <v/>
      </c>
      <c r="B26" s="51">
        <f>'📥 Stock Data Input'!K13</f>
        <v/>
      </c>
      <c r="C26" s="52">
        <f>'📥 Stock Data Input'!M13</f>
        <v/>
      </c>
      <c r="D26" s="52">
        <f>'📥 Stock Data Input'!N13</f>
        <v/>
      </c>
      <c r="E26" s="65">
        <f>'📊 Stock Analysis'!K13</f>
        <v/>
      </c>
      <c r="F26" s="65">
        <f>'📊 Stock Analysis'!L13</f>
        <v/>
      </c>
      <c r="G26" s="65">
        <f>IFERROR(IF('📥 Stock Data Input'!A13="","",IF('📥 Stock Data Input'!M13&lt;-0.3,"🔴 HIGH",IF(OR('📥 Stock Data Input'!M13&lt;0,'📥 Stock Data Input'!K13&lt;5000),"🟡 MEDIUM","🔵 LOW"))),"")</f>
        <v/>
      </c>
      <c r="H26" s="66">
        <f>'📊 Stock Analysis'!M13</f>
        <v/>
      </c>
    </row>
    <row r="27" ht="16.5" customHeight="1" s="82">
      <c r="A27" s="59">
        <f>'📥 Stock Data Input'!A14</f>
        <v/>
      </c>
      <c r="B27" s="42">
        <f>'📥 Stock Data Input'!K14</f>
        <v/>
      </c>
      <c r="C27" s="43">
        <f>'📥 Stock Data Input'!M14</f>
        <v/>
      </c>
      <c r="D27" s="43">
        <f>'📥 Stock Data Input'!N14</f>
        <v/>
      </c>
      <c r="E27" s="61">
        <f>'📊 Stock Analysis'!K14</f>
        <v/>
      </c>
      <c r="F27" s="61">
        <f>'📊 Stock Analysis'!L14</f>
        <v/>
      </c>
      <c r="G27" s="61">
        <f>IFERROR(IF('📥 Stock Data Input'!A14="","",IF('📥 Stock Data Input'!M14&lt;-0.3,"🔴 HIGH",IF(OR('📥 Stock Data Input'!M14&lt;0,'📥 Stock Data Input'!K14&lt;5000),"🟡 MEDIUM","🔵 LOW"))),"")</f>
        <v/>
      </c>
      <c r="H27" s="62">
        <f>'📊 Stock Analysis'!M14</f>
        <v/>
      </c>
    </row>
    <row r="28" ht="16.5" customHeight="1" s="82">
      <c r="A28" s="63">
        <f>'📥 Stock Data Input'!A15</f>
        <v/>
      </c>
      <c r="B28" s="51">
        <f>'📥 Stock Data Input'!K15</f>
        <v/>
      </c>
      <c r="C28" s="52">
        <f>'📥 Stock Data Input'!M15</f>
        <v/>
      </c>
      <c r="D28" s="52">
        <f>'📥 Stock Data Input'!N15</f>
        <v/>
      </c>
      <c r="E28" s="65">
        <f>'📊 Stock Analysis'!K15</f>
        <v/>
      </c>
      <c r="F28" s="65">
        <f>'📊 Stock Analysis'!L15</f>
        <v/>
      </c>
      <c r="G28" s="65">
        <f>IFERROR(IF('📥 Stock Data Input'!A15="","",IF('📥 Stock Data Input'!M15&lt;-0.3,"🔴 HIGH",IF(OR('📥 Stock Data Input'!M15&lt;0,'📥 Stock Data Input'!K15&lt;5000),"🟡 MEDIUM","🔵 LOW"))),"")</f>
        <v/>
      </c>
      <c r="H28" s="66">
        <f>'📊 Stock Analysis'!M15</f>
        <v/>
      </c>
    </row>
    <row r="29" ht="16.5" customHeight="1" s="82">
      <c r="A29" s="59">
        <f>'📥 Stock Data Input'!A16</f>
        <v/>
      </c>
      <c r="B29" s="42">
        <f>'📥 Stock Data Input'!K16</f>
        <v/>
      </c>
      <c r="C29" s="43">
        <f>'📥 Stock Data Input'!M16</f>
        <v/>
      </c>
      <c r="D29" s="43">
        <f>'📥 Stock Data Input'!N16</f>
        <v/>
      </c>
      <c r="E29" s="61">
        <f>'📊 Stock Analysis'!K16</f>
        <v/>
      </c>
      <c r="F29" s="61">
        <f>'📊 Stock Analysis'!L16</f>
        <v/>
      </c>
      <c r="G29" s="61">
        <f>IFERROR(IF('📥 Stock Data Input'!A16="","",IF('📥 Stock Data Input'!M16&lt;-0.3,"🔴 HIGH",IF(OR('📥 Stock Data Input'!M16&lt;0,'📥 Stock Data Input'!K16&lt;5000),"🟡 MEDIUM","🔵 LOW"))),"")</f>
        <v/>
      </c>
      <c r="H29" s="62">
        <f>'📊 Stock Analysis'!M16</f>
        <v/>
      </c>
    </row>
    <row r="30" ht="16.5" customHeight="1" s="82">
      <c r="A30" s="63">
        <f>'📥 Stock Data Input'!A17</f>
        <v/>
      </c>
      <c r="B30" s="51">
        <f>'📥 Stock Data Input'!K17</f>
        <v/>
      </c>
      <c r="C30" s="52">
        <f>'📥 Stock Data Input'!M17</f>
        <v/>
      </c>
      <c r="D30" s="52">
        <f>'📥 Stock Data Input'!N17</f>
        <v/>
      </c>
      <c r="E30" s="65">
        <f>'📊 Stock Analysis'!K17</f>
        <v/>
      </c>
      <c r="F30" s="65">
        <f>'📊 Stock Analysis'!L17</f>
        <v/>
      </c>
      <c r="G30" s="65">
        <f>IFERROR(IF('📥 Stock Data Input'!A17="","",IF('📥 Stock Data Input'!M17&lt;-0.3,"🔴 HIGH",IF(OR('📥 Stock Data Input'!M17&lt;0,'📥 Stock Data Input'!K17&lt;5000),"🟡 MEDIUM","🔵 LOW"))),"")</f>
        <v/>
      </c>
      <c r="H30" s="66">
        <f>'📊 Stock Analysis'!M17</f>
        <v/>
      </c>
    </row>
    <row r="31" ht="16.5" customHeight="1" s="82">
      <c r="A31" s="59">
        <f>'📥 Stock Data Input'!A18</f>
        <v/>
      </c>
      <c r="B31" s="42">
        <f>'📥 Stock Data Input'!K18</f>
        <v/>
      </c>
      <c r="C31" s="43">
        <f>'📥 Stock Data Input'!M18</f>
        <v/>
      </c>
      <c r="D31" s="43">
        <f>'📥 Stock Data Input'!N18</f>
        <v/>
      </c>
      <c r="E31" s="61">
        <f>'📊 Stock Analysis'!K18</f>
        <v/>
      </c>
      <c r="F31" s="61">
        <f>'📊 Stock Analysis'!L18</f>
        <v/>
      </c>
      <c r="G31" s="61">
        <f>IFERROR(IF('📥 Stock Data Input'!A18="","",IF('📥 Stock Data Input'!M18&lt;-0.3,"🔴 HIGH",IF(OR('📥 Stock Data Input'!M18&lt;0,'📥 Stock Data Input'!K18&lt;5000),"🟡 MEDIUM","🔵 LOW"))),"")</f>
        <v/>
      </c>
      <c r="H31" s="62">
        <f>'📊 Stock Analysis'!M18</f>
        <v/>
      </c>
    </row>
    <row r="32" ht="16.5" customHeight="1" s="82">
      <c r="A32" s="63">
        <f>'📥 Stock Data Input'!A19</f>
        <v/>
      </c>
      <c r="B32" s="51">
        <f>'📥 Stock Data Input'!K19</f>
        <v/>
      </c>
      <c r="C32" s="52">
        <f>'📥 Stock Data Input'!M19</f>
        <v/>
      </c>
      <c r="D32" s="52">
        <f>'📥 Stock Data Input'!N19</f>
        <v/>
      </c>
      <c r="E32" s="65">
        <f>'📊 Stock Analysis'!K19</f>
        <v/>
      </c>
      <c r="F32" s="65">
        <f>'📊 Stock Analysis'!L19</f>
        <v/>
      </c>
      <c r="G32" s="65">
        <f>IFERROR(IF('📥 Stock Data Input'!A19="","",IF('📥 Stock Data Input'!M19&lt;-0.3,"🔴 HIGH",IF(OR('📥 Stock Data Input'!M19&lt;0,'📥 Stock Data Input'!K19&lt;5000),"🟡 MEDIUM","🔵 LOW"))),"")</f>
        <v/>
      </c>
      <c r="H32" s="66">
        <f>'📊 Stock Analysis'!M19</f>
        <v/>
      </c>
    </row>
    <row r="33" ht="16.5" customHeight="1" s="82">
      <c r="A33" s="59">
        <f>'📥 Stock Data Input'!A20</f>
        <v/>
      </c>
      <c r="B33" s="42">
        <f>'📥 Stock Data Input'!K20</f>
        <v/>
      </c>
      <c r="C33" s="43">
        <f>'📥 Stock Data Input'!M20</f>
        <v/>
      </c>
      <c r="D33" s="43">
        <f>'📥 Stock Data Input'!N20</f>
        <v/>
      </c>
      <c r="E33" s="61">
        <f>'📊 Stock Analysis'!K20</f>
        <v/>
      </c>
      <c r="F33" s="61">
        <f>'📊 Stock Analysis'!L20</f>
        <v/>
      </c>
      <c r="G33" s="61">
        <f>IFERROR(IF('📥 Stock Data Input'!A20="","",IF('📥 Stock Data Input'!M20&lt;-0.3,"🔴 HIGH",IF(OR('📥 Stock Data Input'!M20&lt;0,'📥 Stock Data Input'!K20&lt;5000),"🟡 MEDIUM","🔵 LOW"))),"")</f>
        <v/>
      </c>
      <c r="H33" s="62">
        <f>'📊 Stock Analysis'!M20</f>
        <v/>
      </c>
    </row>
    <row r="34" ht="16.5" customHeight="1" s="82">
      <c r="A34" s="63">
        <f>'📥 Stock Data Input'!A21</f>
        <v/>
      </c>
      <c r="B34" s="51">
        <f>'📥 Stock Data Input'!K21</f>
        <v/>
      </c>
      <c r="C34" s="52">
        <f>'📥 Stock Data Input'!M21</f>
        <v/>
      </c>
      <c r="D34" s="52">
        <f>'📥 Stock Data Input'!N21</f>
        <v/>
      </c>
      <c r="E34" s="65">
        <f>'📊 Stock Analysis'!K21</f>
        <v/>
      </c>
      <c r="F34" s="65">
        <f>'📊 Stock Analysis'!L21</f>
        <v/>
      </c>
      <c r="G34" s="65">
        <f>IFERROR(IF('📥 Stock Data Input'!A21="","",IF('📥 Stock Data Input'!M21&lt;-0.3,"🔴 HIGH",IF(OR('📥 Stock Data Input'!M21&lt;0,'📥 Stock Data Input'!K21&lt;5000),"🟡 MEDIUM","🔵 LOW"))),"")</f>
        <v/>
      </c>
      <c r="H34" s="66">
        <f>'📊 Stock Analysis'!M21</f>
        <v/>
      </c>
    </row>
    <row r="35" ht="16.5" customHeight="1" s="82">
      <c r="A35" s="59">
        <f>'📥 Stock Data Input'!A22</f>
        <v/>
      </c>
      <c r="B35" s="42">
        <f>'📥 Stock Data Input'!K22</f>
        <v/>
      </c>
      <c r="C35" s="43">
        <f>'📥 Stock Data Input'!M22</f>
        <v/>
      </c>
      <c r="D35" s="43">
        <f>'📥 Stock Data Input'!N22</f>
        <v/>
      </c>
      <c r="E35" s="61">
        <f>'📊 Stock Analysis'!K22</f>
        <v/>
      </c>
      <c r="F35" s="61">
        <f>'📊 Stock Analysis'!L22</f>
        <v/>
      </c>
      <c r="G35" s="61">
        <f>IFERROR(IF('📥 Stock Data Input'!A22="","",IF('📥 Stock Data Input'!M22&lt;-0.3,"🔴 HIGH",IF(OR('📥 Stock Data Input'!M22&lt;0,'📥 Stock Data Input'!K22&lt;5000),"🟡 MEDIUM","🔵 LOW"))),"")</f>
        <v/>
      </c>
      <c r="H35" s="62">
        <f>'📊 Stock Analysis'!M22</f>
        <v/>
      </c>
    </row>
    <row r="36" ht="16.5" customHeight="1" s="82">
      <c r="A36" s="63">
        <f>'📥 Stock Data Input'!A23</f>
        <v/>
      </c>
      <c r="B36" s="51">
        <f>'📥 Stock Data Input'!K23</f>
        <v/>
      </c>
      <c r="C36" s="52">
        <f>'📥 Stock Data Input'!M23</f>
        <v/>
      </c>
      <c r="D36" s="52">
        <f>'📥 Stock Data Input'!N23</f>
        <v/>
      </c>
      <c r="E36" s="65">
        <f>'📊 Stock Analysis'!K23</f>
        <v/>
      </c>
      <c r="F36" s="65">
        <f>'📊 Stock Analysis'!L23</f>
        <v/>
      </c>
      <c r="G36" s="65">
        <f>IFERROR(IF('📥 Stock Data Input'!A23="","",IF('📥 Stock Data Input'!M23&lt;-0.3,"🔴 HIGH",IF(OR('📥 Stock Data Input'!M23&lt;0,'📥 Stock Data Input'!K23&lt;5000),"🟡 MEDIUM","🔵 LOW"))),"")</f>
        <v/>
      </c>
      <c r="H36" s="66">
        <f>'📊 Stock Analysis'!M23</f>
        <v/>
      </c>
    </row>
    <row r="37" ht="16.5" customHeight="1" s="82">
      <c r="A37" s="59">
        <f>'📥 Stock Data Input'!A24</f>
        <v/>
      </c>
      <c r="B37" s="42">
        <f>'📥 Stock Data Input'!K24</f>
        <v/>
      </c>
      <c r="C37" s="43">
        <f>'📥 Stock Data Input'!M24</f>
        <v/>
      </c>
      <c r="D37" s="43">
        <f>'📥 Stock Data Input'!N24</f>
        <v/>
      </c>
      <c r="E37" s="61">
        <f>'📊 Stock Analysis'!K24</f>
        <v/>
      </c>
      <c r="F37" s="61">
        <f>'📊 Stock Analysis'!L24</f>
        <v/>
      </c>
      <c r="G37" s="61">
        <f>IFERROR(IF('📥 Stock Data Input'!A24="","",IF('📥 Stock Data Input'!M24&lt;-0.3,"🔴 HIGH",IF(OR('📥 Stock Data Input'!M24&lt;0,'📥 Stock Data Input'!K24&lt;5000),"🟡 MEDIUM","🔵 LOW"))),"")</f>
        <v/>
      </c>
      <c r="H37" s="62">
        <f>'📊 Stock Analysis'!M24</f>
        <v/>
      </c>
    </row>
    <row r="38" ht="16.5" customHeight="1" s="82">
      <c r="A38" s="63">
        <f>'📥 Stock Data Input'!A25</f>
        <v/>
      </c>
      <c r="B38" s="51">
        <f>'📥 Stock Data Input'!K25</f>
        <v/>
      </c>
      <c r="C38" s="52">
        <f>'📥 Stock Data Input'!M25</f>
        <v/>
      </c>
      <c r="D38" s="52">
        <f>'📥 Stock Data Input'!N25</f>
        <v/>
      </c>
      <c r="E38" s="65">
        <f>'📊 Stock Analysis'!K25</f>
        <v/>
      </c>
      <c r="F38" s="65">
        <f>'📊 Stock Analysis'!L25</f>
        <v/>
      </c>
      <c r="G38" s="65">
        <f>IFERROR(IF('📥 Stock Data Input'!A25="","",IF('📥 Stock Data Input'!M25&lt;-0.3,"🔴 HIGH",IF(OR('📥 Stock Data Input'!M25&lt;0,'📥 Stock Data Input'!K25&lt;5000),"🟡 MEDIUM","🔵 LOW"))),"")</f>
        <v/>
      </c>
      <c r="H38" s="66">
        <f>'📊 Stock Analysis'!M25</f>
        <v/>
      </c>
    </row>
    <row r="39" ht="16.5" customHeight="1" s="82">
      <c r="A39" s="59">
        <f>'📥 Stock Data Input'!A26</f>
        <v/>
      </c>
      <c r="B39" s="42">
        <f>'📥 Stock Data Input'!K26</f>
        <v/>
      </c>
      <c r="C39" s="43">
        <f>'📥 Stock Data Input'!M26</f>
        <v/>
      </c>
      <c r="D39" s="43">
        <f>'📥 Stock Data Input'!N26</f>
        <v/>
      </c>
      <c r="E39" s="61">
        <f>'📊 Stock Analysis'!K26</f>
        <v/>
      </c>
      <c r="F39" s="61">
        <f>'📊 Stock Analysis'!L26</f>
        <v/>
      </c>
      <c r="G39" s="61">
        <f>IFERROR(IF('📥 Stock Data Input'!A26="","",IF('📥 Stock Data Input'!M26&lt;-0.3,"🔴 HIGH",IF(OR('📥 Stock Data Input'!M26&lt;0,'📥 Stock Data Input'!K26&lt;5000),"🟡 MEDIUM","🔵 LOW"))),"")</f>
        <v/>
      </c>
      <c r="H39" s="62">
        <f>'📊 Stock Analysis'!M26</f>
        <v/>
      </c>
    </row>
    <row r="40" ht="16.5" customHeight="1" s="82">
      <c r="A40" s="63">
        <f>'📥 Stock Data Input'!A27</f>
        <v/>
      </c>
      <c r="B40" s="51">
        <f>'📥 Stock Data Input'!K27</f>
        <v/>
      </c>
      <c r="C40" s="52">
        <f>'📥 Stock Data Input'!M27</f>
        <v/>
      </c>
      <c r="D40" s="52">
        <f>'📥 Stock Data Input'!N27</f>
        <v/>
      </c>
      <c r="E40" s="65">
        <f>'📊 Stock Analysis'!K27</f>
        <v/>
      </c>
      <c r="F40" s="65">
        <f>'📊 Stock Analysis'!L27</f>
        <v/>
      </c>
      <c r="G40" s="65">
        <f>IFERROR(IF('📥 Stock Data Input'!A27="","",IF('📥 Stock Data Input'!M27&lt;-0.3,"🔴 HIGH",IF(OR('📥 Stock Data Input'!M27&lt;0,'📥 Stock Data Input'!K27&lt;5000),"🟡 MEDIUM","🔵 LOW"))),"")</f>
        <v/>
      </c>
      <c r="H40" s="66">
        <f>'📊 Stock Analysis'!M27</f>
        <v/>
      </c>
    </row>
    <row r="41" ht="16.5" customHeight="1" s="82">
      <c r="A41" s="59">
        <f>'📥 Stock Data Input'!A28</f>
        <v/>
      </c>
      <c r="B41" s="42">
        <f>'📥 Stock Data Input'!K28</f>
        <v/>
      </c>
      <c r="C41" s="43">
        <f>'📥 Stock Data Input'!M28</f>
        <v/>
      </c>
      <c r="D41" s="43">
        <f>'📥 Stock Data Input'!N28</f>
        <v/>
      </c>
      <c r="E41" s="61">
        <f>'📊 Stock Analysis'!K28</f>
        <v/>
      </c>
      <c r="F41" s="61">
        <f>'📊 Stock Analysis'!L28</f>
        <v/>
      </c>
      <c r="G41" s="61">
        <f>IFERROR(IF('📥 Stock Data Input'!A28="","",IF('📥 Stock Data Input'!M28&lt;-0.3,"🔴 HIGH",IF(OR('📥 Stock Data Input'!M28&lt;0,'📥 Stock Data Input'!K28&lt;5000),"🟡 MEDIUM","🔵 LOW"))),"")</f>
        <v/>
      </c>
      <c r="H41" s="62">
        <f>'📊 Stock Analysis'!M28</f>
        <v/>
      </c>
    </row>
    <row r="42" ht="16.5" customHeight="1" s="82">
      <c r="A42" s="63">
        <f>'📥 Stock Data Input'!A29</f>
        <v/>
      </c>
      <c r="B42" s="51">
        <f>'📥 Stock Data Input'!K29</f>
        <v/>
      </c>
      <c r="C42" s="52">
        <f>'📥 Stock Data Input'!M29</f>
        <v/>
      </c>
      <c r="D42" s="52">
        <f>'📥 Stock Data Input'!N29</f>
        <v/>
      </c>
      <c r="E42" s="65">
        <f>'📊 Stock Analysis'!K29</f>
        <v/>
      </c>
      <c r="F42" s="65">
        <f>'📊 Stock Analysis'!L29</f>
        <v/>
      </c>
      <c r="G42" s="65">
        <f>IFERROR(IF('📥 Stock Data Input'!A29="","",IF('📥 Stock Data Input'!M29&lt;-0.3,"🔴 HIGH",IF(OR('📥 Stock Data Input'!M29&lt;0,'📥 Stock Data Input'!K29&lt;5000),"🟡 MEDIUM","🔵 LOW"))),"")</f>
        <v/>
      </c>
      <c r="H42" s="66">
        <f>'📊 Stock Analysis'!M29</f>
        <v/>
      </c>
    </row>
    <row r="43" ht="16.5" customHeight="1" s="82">
      <c r="A43" s="59">
        <f>'📥 Stock Data Input'!A30</f>
        <v/>
      </c>
      <c r="B43" s="42">
        <f>'📥 Stock Data Input'!K30</f>
        <v/>
      </c>
      <c r="C43" s="43">
        <f>'📥 Stock Data Input'!M30</f>
        <v/>
      </c>
      <c r="D43" s="43">
        <f>'📥 Stock Data Input'!N30</f>
        <v/>
      </c>
      <c r="E43" s="61">
        <f>'📊 Stock Analysis'!K30</f>
        <v/>
      </c>
      <c r="F43" s="61">
        <f>'📊 Stock Analysis'!L30</f>
        <v/>
      </c>
      <c r="G43" s="61">
        <f>IFERROR(IF('📥 Stock Data Input'!A30="","",IF('📥 Stock Data Input'!M30&lt;-0.3,"🔴 HIGH",IF(OR('📥 Stock Data Input'!M30&lt;0,'📥 Stock Data Input'!K30&lt;5000),"🟡 MEDIUM","🔵 LOW"))),"")</f>
        <v/>
      </c>
      <c r="H43" s="62">
        <f>'📊 Stock Analysis'!M30</f>
        <v/>
      </c>
    </row>
    <row r="44" ht="16.5" customHeight="1" s="82">
      <c r="A44" s="63">
        <f>'📥 Stock Data Input'!A31</f>
        <v/>
      </c>
      <c r="B44" s="51">
        <f>'📥 Stock Data Input'!K31</f>
        <v/>
      </c>
      <c r="C44" s="52">
        <f>'📥 Stock Data Input'!M31</f>
        <v/>
      </c>
      <c r="D44" s="52">
        <f>'📥 Stock Data Input'!N31</f>
        <v/>
      </c>
      <c r="E44" s="65">
        <f>'📊 Stock Analysis'!K31</f>
        <v/>
      </c>
      <c r="F44" s="65">
        <f>'📊 Stock Analysis'!L31</f>
        <v/>
      </c>
      <c r="G44" s="65">
        <f>IFERROR(IF('📥 Stock Data Input'!A31="","",IF('📥 Stock Data Input'!M31&lt;-0.3,"🔴 HIGH",IF(OR('📥 Stock Data Input'!M31&lt;0,'📥 Stock Data Input'!K31&lt;5000),"🟡 MEDIUM","🔵 LOW"))),"")</f>
        <v/>
      </c>
      <c r="H44" s="66">
        <f>'📊 Stock Analysis'!M31</f>
        <v/>
      </c>
    </row>
    <row r="45" ht="16.5" customHeight="1" s="82">
      <c r="A45" s="59">
        <f>'📥 Stock Data Input'!A32</f>
        <v/>
      </c>
      <c r="B45" s="42">
        <f>'📥 Stock Data Input'!K32</f>
        <v/>
      </c>
      <c r="C45" s="43">
        <f>'📥 Stock Data Input'!M32</f>
        <v/>
      </c>
      <c r="D45" s="43">
        <f>'📥 Stock Data Input'!N32</f>
        <v/>
      </c>
      <c r="E45" s="61">
        <f>'📊 Stock Analysis'!K32</f>
        <v/>
      </c>
      <c r="F45" s="61">
        <f>'📊 Stock Analysis'!L32</f>
        <v/>
      </c>
      <c r="G45" s="61">
        <f>IFERROR(IF('📥 Stock Data Input'!A32="","",IF('📥 Stock Data Input'!M32&lt;-0.3,"🔴 HIGH",IF(OR('📥 Stock Data Input'!M32&lt;0,'📥 Stock Data Input'!K32&lt;5000),"🟡 MEDIUM","🔵 LOW"))),"")</f>
        <v/>
      </c>
      <c r="H45" s="62">
        <f>'📊 Stock Analysis'!M32</f>
        <v/>
      </c>
    </row>
    <row r="46" ht="16.5" customHeight="1" s="82">
      <c r="A46" s="63">
        <f>'📥 Stock Data Input'!A33</f>
        <v/>
      </c>
      <c r="B46" s="51">
        <f>'📥 Stock Data Input'!K33</f>
        <v/>
      </c>
      <c r="C46" s="52">
        <f>'📥 Stock Data Input'!M33</f>
        <v/>
      </c>
      <c r="D46" s="52">
        <f>'📥 Stock Data Input'!N33</f>
        <v/>
      </c>
      <c r="E46" s="65">
        <f>'📊 Stock Analysis'!K33</f>
        <v/>
      </c>
      <c r="F46" s="65">
        <f>'📊 Stock Analysis'!L33</f>
        <v/>
      </c>
      <c r="G46" s="65">
        <f>IFERROR(IF('📥 Stock Data Input'!A33="","",IF('📥 Stock Data Input'!M33&lt;-0.3,"🔴 HIGH",IF(OR('📥 Stock Data Input'!M33&lt;0,'📥 Stock Data Input'!K33&lt;5000),"🟡 MEDIUM","🔵 LOW"))),"")</f>
        <v/>
      </c>
      <c r="H46" s="66">
        <f>'📊 Stock Analysis'!M33</f>
        <v/>
      </c>
    </row>
    <row r="47" ht="16.5" customHeight="1" s="82">
      <c r="A47" s="59">
        <f>'📥 Stock Data Input'!A34</f>
        <v/>
      </c>
      <c r="B47" s="42">
        <f>'📥 Stock Data Input'!K34</f>
        <v/>
      </c>
      <c r="C47" s="43">
        <f>'📥 Stock Data Input'!M34</f>
        <v/>
      </c>
      <c r="D47" s="43">
        <f>'📥 Stock Data Input'!N34</f>
        <v/>
      </c>
      <c r="E47" s="61">
        <f>'📊 Stock Analysis'!K34</f>
        <v/>
      </c>
      <c r="F47" s="61">
        <f>'📊 Stock Analysis'!L34</f>
        <v/>
      </c>
      <c r="G47" s="61">
        <f>IFERROR(IF('📥 Stock Data Input'!A34="","",IF('📥 Stock Data Input'!M34&lt;-0.3,"🔴 HIGH",IF(OR('📥 Stock Data Input'!M34&lt;0,'📥 Stock Data Input'!K34&lt;5000),"🟡 MEDIUM","🔵 LOW"))),"")</f>
        <v/>
      </c>
      <c r="H47" s="62">
        <f>'📊 Stock Analysis'!M34</f>
        <v/>
      </c>
    </row>
    <row r="48" ht="16.5" customHeight="1" s="82">
      <c r="A48" s="63">
        <f>'📥 Stock Data Input'!A35</f>
        <v/>
      </c>
      <c r="B48" s="51">
        <f>'📥 Stock Data Input'!K35</f>
        <v/>
      </c>
      <c r="C48" s="52">
        <f>'📥 Stock Data Input'!M35</f>
        <v/>
      </c>
      <c r="D48" s="52">
        <f>'📥 Stock Data Input'!N35</f>
        <v/>
      </c>
      <c r="E48" s="65">
        <f>'📊 Stock Analysis'!K35</f>
        <v/>
      </c>
      <c r="F48" s="65">
        <f>'📊 Stock Analysis'!L35</f>
        <v/>
      </c>
      <c r="G48" s="65">
        <f>IFERROR(IF('📥 Stock Data Input'!A35="","",IF('📥 Stock Data Input'!M35&lt;-0.3,"🔴 HIGH",IF(OR('📥 Stock Data Input'!M35&lt;0,'📥 Stock Data Input'!K35&lt;5000),"🟡 MEDIUM","🔵 LOW"))),"")</f>
        <v/>
      </c>
      <c r="H48" s="66">
        <f>'📊 Stock Analysis'!M35</f>
        <v/>
      </c>
    </row>
    <row r="49" ht="16.5" customHeight="1" s="82">
      <c r="A49" s="59">
        <f>'📥 Stock Data Input'!A36</f>
        <v/>
      </c>
      <c r="B49" s="42">
        <f>'📥 Stock Data Input'!K36</f>
        <v/>
      </c>
      <c r="C49" s="43">
        <f>'📥 Stock Data Input'!M36</f>
        <v/>
      </c>
      <c r="D49" s="43">
        <f>'📥 Stock Data Input'!N36</f>
        <v/>
      </c>
      <c r="E49" s="61">
        <f>'📊 Stock Analysis'!K36</f>
        <v/>
      </c>
      <c r="F49" s="61">
        <f>'📊 Stock Analysis'!L36</f>
        <v/>
      </c>
      <c r="G49" s="61">
        <f>IFERROR(IF('📥 Stock Data Input'!A36="","",IF('📥 Stock Data Input'!M36&lt;-0.3,"🔴 HIGH",IF(OR('📥 Stock Data Input'!M36&lt;0,'📥 Stock Data Input'!K36&lt;5000),"🟡 MEDIUM","🔵 LOW"))),"")</f>
        <v/>
      </c>
      <c r="H49" s="62">
        <f>'📊 Stock Analysis'!M36</f>
        <v/>
      </c>
    </row>
    <row r="50" ht="16.5" customHeight="1" s="82">
      <c r="A50" s="63">
        <f>'📥 Stock Data Input'!A37</f>
        <v/>
      </c>
      <c r="B50" s="51">
        <f>'📥 Stock Data Input'!K37</f>
        <v/>
      </c>
      <c r="C50" s="52">
        <f>'📥 Stock Data Input'!M37</f>
        <v/>
      </c>
      <c r="D50" s="52">
        <f>'📥 Stock Data Input'!N37</f>
        <v/>
      </c>
      <c r="E50" s="65">
        <f>'📊 Stock Analysis'!K37</f>
        <v/>
      </c>
      <c r="F50" s="65">
        <f>'📊 Stock Analysis'!L37</f>
        <v/>
      </c>
      <c r="G50" s="65">
        <f>IFERROR(IF('📥 Stock Data Input'!A37="","",IF('📥 Stock Data Input'!M37&lt;-0.3,"🔴 HIGH",IF(OR('📥 Stock Data Input'!M37&lt;0,'📥 Stock Data Input'!K37&lt;5000),"🟡 MEDIUM","🔵 LOW"))),"")</f>
        <v/>
      </c>
      <c r="H50" s="66">
        <f>'📊 Stock Analysis'!M37</f>
        <v/>
      </c>
    </row>
    <row r="51" ht="16.5" customHeight="1" s="82">
      <c r="A51" s="59">
        <f>'📥 Stock Data Input'!A38</f>
        <v/>
      </c>
      <c r="B51" s="42">
        <f>'📥 Stock Data Input'!K38</f>
        <v/>
      </c>
      <c r="C51" s="43">
        <f>'📥 Stock Data Input'!M38</f>
        <v/>
      </c>
      <c r="D51" s="43">
        <f>'📥 Stock Data Input'!N38</f>
        <v/>
      </c>
      <c r="E51" s="61">
        <f>'📊 Stock Analysis'!K38</f>
        <v/>
      </c>
      <c r="F51" s="61">
        <f>'📊 Stock Analysis'!L38</f>
        <v/>
      </c>
      <c r="G51" s="61">
        <f>IFERROR(IF('📥 Stock Data Input'!A38="","",IF('📥 Stock Data Input'!M38&lt;-0.3,"🔴 HIGH",IF(OR('📥 Stock Data Input'!M38&lt;0,'📥 Stock Data Input'!K38&lt;5000),"🟡 MEDIUM","🔵 LOW"))),"")</f>
        <v/>
      </c>
      <c r="H51" s="62">
        <f>'📊 Stock Analysis'!M38</f>
        <v/>
      </c>
    </row>
    <row r="52" ht="16.5" customHeight="1" s="82">
      <c r="A52" s="63">
        <f>'📥 Stock Data Input'!A39</f>
        <v/>
      </c>
      <c r="B52" s="51">
        <f>'📥 Stock Data Input'!K39</f>
        <v/>
      </c>
      <c r="C52" s="52">
        <f>'📥 Stock Data Input'!M39</f>
        <v/>
      </c>
      <c r="D52" s="52">
        <f>'📥 Stock Data Input'!N39</f>
        <v/>
      </c>
      <c r="E52" s="65">
        <f>'📊 Stock Analysis'!K39</f>
        <v/>
      </c>
      <c r="F52" s="65">
        <f>'📊 Stock Analysis'!L39</f>
        <v/>
      </c>
      <c r="G52" s="65">
        <f>IFERROR(IF('📥 Stock Data Input'!A39="","",IF('📥 Stock Data Input'!M39&lt;-0.3,"🔴 HIGH",IF(OR('📥 Stock Data Input'!M39&lt;0,'📥 Stock Data Input'!K39&lt;5000),"🟡 MEDIUM","🔵 LOW"))),"")</f>
        <v/>
      </c>
      <c r="H52" s="66">
        <f>'📊 Stock Analysis'!M39</f>
        <v/>
      </c>
    </row>
    <row r="53" ht="16.5" customHeight="1" s="82">
      <c r="A53" s="59">
        <f>'📥 Stock Data Input'!A40</f>
        <v/>
      </c>
      <c r="B53" s="42">
        <f>'📥 Stock Data Input'!K40</f>
        <v/>
      </c>
      <c r="C53" s="43">
        <f>'📥 Stock Data Input'!M40</f>
        <v/>
      </c>
      <c r="D53" s="43">
        <f>'📥 Stock Data Input'!N40</f>
        <v/>
      </c>
      <c r="E53" s="61">
        <f>'📊 Stock Analysis'!K40</f>
        <v/>
      </c>
      <c r="F53" s="61">
        <f>'📊 Stock Analysis'!L40</f>
        <v/>
      </c>
      <c r="G53" s="61">
        <f>IFERROR(IF('📥 Stock Data Input'!A40="","",IF('📥 Stock Data Input'!M40&lt;-0.3,"🔴 HIGH",IF(OR('📥 Stock Data Input'!M40&lt;0,'📥 Stock Data Input'!K40&lt;5000),"🟡 MEDIUM","🔵 LOW"))),"")</f>
        <v/>
      </c>
      <c r="H53" s="62">
        <f>'📊 Stock Analysis'!M40</f>
        <v/>
      </c>
    </row>
    <row r="54" ht="16.5" customHeight="1" s="82">
      <c r="A54" s="63">
        <f>'📥 Stock Data Input'!A41</f>
        <v/>
      </c>
      <c r="B54" s="51">
        <f>'📥 Stock Data Input'!K41</f>
        <v/>
      </c>
      <c r="C54" s="52">
        <f>'📥 Stock Data Input'!M41</f>
        <v/>
      </c>
      <c r="D54" s="52">
        <f>'📥 Stock Data Input'!N41</f>
        <v/>
      </c>
      <c r="E54" s="65">
        <f>'📊 Stock Analysis'!K41</f>
        <v/>
      </c>
      <c r="F54" s="65">
        <f>'📊 Stock Analysis'!L41</f>
        <v/>
      </c>
      <c r="G54" s="65">
        <f>IFERROR(IF('📥 Stock Data Input'!A41="","",IF('📥 Stock Data Input'!M41&lt;-0.3,"🔴 HIGH",IF(OR('📥 Stock Data Input'!M41&lt;0,'📥 Stock Data Input'!K41&lt;5000),"🟡 MEDIUM","🔵 LOW"))),"")</f>
        <v/>
      </c>
      <c r="H54" s="66">
        <f>'📊 Stock Analysis'!M41</f>
        <v/>
      </c>
    </row>
    <row r="55" ht="16.5" customHeight="1" s="82">
      <c r="A55" s="59">
        <f>'📥 Stock Data Input'!A42</f>
        <v/>
      </c>
      <c r="B55" s="42">
        <f>'📥 Stock Data Input'!K42</f>
        <v/>
      </c>
      <c r="C55" s="43">
        <f>'📥 Stock Data Input'!M42</f>
        <v/>
      </c>
      <c r="D55" s="43">
        <f>'📥 Stock Data Input'!N42</f>
        <v/>
      </c>
      <c r="E55" s="61">
        <f>'📊 Stock Analysis'!K42</f>
        <v/>
      </c>
      <c r="F55" s="61">
        <f>'📊 Stock Analysis'!L42</f>
        <v/>
      </c>
      <c r="G55" s="61">
        <f>IFERROR(IF('📥 Stock Data Input'!A42="","",IF('📥 Stock Data Input'!M42&lt;-0.3,"🔴 HIGH",IF(OR('📥 Stock Data Input'!M42&lt;0,'📥 Stock Data Input'!K42&lt;5000),"🟡 MEDIUM","🔵 LOW"))),"")</f>
        <v/>
      </c>
      <c r="H55" s="62">
        <f>'📊 Stock Analysis'!M42</f>
        <v/>
      </c>
    </row>
    <row r="56" ht="16.5" customHeight="1" s="82">
      <c r="A56" s="63">
        <f>'📥 Stock Data Input'!A43</f>
        <v/>
      </c>
      <c r="B56" s="51">
        <f>'📥 Stock Data Input'!K43</f>
        <v/>
      </c>
      <c r="C56" s="52">
        <f>'📥 Stock Data Input'!M43</f>
        <v/>
      </c>
      <c r="D56" s="52">
        <f>'📥 Stock Data Input'!N43</f>
        <v/>
      </c>
      <c r="E56" s="65">
        <f>'📊 Stock Analysis'!K43</f>
        <v/>
      </c>
      <c r="F56" s="65">
        <f>'📊 Stock Analysis'!L43</f>
        <v/>
      </c>
      <c r="G56" s="65">
        <f>IFERROR(IF('📥 Stock Data Input'!A43="","",IF('📥 Stock Data Input'!M43&lt;-0.3,"🔴 HIGH",IF(OR('📥 Stock Data Input'!M43&lt;0,'📥 Stock Data Input'!K43&lt;5000),"🟡 MEDIUM","🔵 LOW"))),"")</f>
        <v/>
      </c>
      <c r="H56" s="66">
        <f>'📊 Stock Analysis'!M43</f>
        <v/>
      </c>
    </row>
    <row r="57" ht="16.5" customHeight="1" s="82">
      <c r="A57" s="59">
        <f>'📥 Stock Data Input'!A44</f>
        <v/>
      </c>
      <c r="B57" s="42">
        <f>'📥 Stock Data Input'!K44</f>
        <v/>
      </c>
      <c r="C57" s="43">
        <f>'📥 Stock Data Input'!M44</f>
        <v/>
      </c>
      <c r="D57" s="43">
        <f>'📥 Stock Data Input'!N44</f>
        <v/>
      </c>
      <c r="E57" s="61">
        <f>'📊 Stock Analysis'!K44</f>
        <v/>
      </c>
      <c r="F57" s="61">
        <f>'📊 Stock Analysis'!L44</f>
        <v/>
      </c>
      <c r="G57" s="61">
        <f>IFERROR(IF('📥 Stock Data Input'!A44="","",IF('📥 Stock Data Input'!M44&lt;-0.3,"🔴 HIGH",IF(OR('📥 Stock Data Input'!M44&lt;0,'📥 Stock Data Input'!K44&lt;5000),"🟡 MEDIUM","🔵 LOW"))),"")</f>
        <v/>
      </c>
      <c r="H57" s="62">
        <f>'📊 Stock Analysis'!M44</f>
        <v/>
      </c>
    </row>
    <row r="58" ht="16.5" customHeight="1" s="82">
      <c r="A58" s="63">
        <f>'📥 Stock Data Input'!A45</f>
        <v/>
      </c>
      <c r="B58" s="51">
        <f>'📥 Stock Data Input'!K45</f>
        <v/>
      </c>
      <c r="C58" s="52">
        <f>'📥 Stock Data Input'!M45</f>
        <v/>
      </c>
      <c r="D58" s="52">
        <f>'📥 Stock Data Input'!N45</f>
        <v/>
      </c>
      <c r="E58" s="65">
        <f>'📊 Stock Analysis'!K45</f>
        <v/>
      </c>
      <c r="F58" s="65">
        <f>'📊 Stock Analysis'!L45</f>
        <v/>
      </c>
      <c r="G58" s="65">
        <f>IFERROR(IF('📥 Stock Data Input'!A45="","",IF('📥 Stock Data Input'!M45&lt;-0.3,"🔴 HIGH",IF(OR('📥 Stock Data Input'!M45&lt;0,'📥 Stock Data Input'!K45&lt;5000),"🟡 MEDIUM","🔵 LOW"))),"")</f>
        <v/>
      </c>
      <c r="H58" s="66">
        <f>'📊 Stock Analysis'!M45</f>
        <v/>
      </c>
    </row>
    <row r="59" ht="16.5" customHeight="1" s="82">
      <c r="A59" s="59">
        <f>'📥 Stock Data Input'!A46</f>
        <v/>
      </c>
      <c r="B59" s="42">
        <f>'📥 Stock Data Input'!K46</f>
        <v/>
      </c>
      <c r="C59" s="43">
        <f>'📥 Stock Data Input'!M46</f>
        <v/>
      </c>
      <c r="D59" s="43">
        <f>'📥 Stock Data Input'!N46</f>
        <v/>
      </c>
      <c r="E59" s="61">
        <f>'📊 Stock Analysis'!K46</f>
        <v/>
      </c>
      <c r="F59" s="61">
        <f>'📊 Stock Analysis'!L46</f>
        <v/>
      </c>
      <c r="G59" s="61">
        <f>IFERROR(IF('📥 Stock Data Input'!A46="","",IF('📥 Stock Data Input'!M46&lt;-0.3,"🔴 HIGH",IF(OR('📥 Stock Data Input'!M46&lt;0,'📥 Stock Data Input'!K46&lt;5000),"🟡 MEDIUM","🔵 LOW"))),"")</f>
        <v/>
      </c>
      <c r="H59" s="62">
        <f>'📊 Stock Analysis'!M46</f>
        <v/>
      </c>
    </row>
    <row r="60" ht="16.5" customHeight="1" s="82">
      <c r="A60" s="63">
        <f>'📥 Stock Data Input'!A47</f>
        <v/>
      </c>
      <c r="B60" s="51">
        <f>'📥 Stock Data Input'!K47</f>
        <v/>
      </c>
      <c r="C60" s="52">
        <f>'📥 Stock Data Input'!M47</f>
        <v/>
      </c>
      <c r="D60" s="52">
        <f>'📥 Stock Data Input'!N47</f>
        <v/>
      </c>
      <c r="E60" s="65">
        <f>'📊 Stock Analysis'!K47</f>
        <v/>
      </c>
      <c r="F60" s="65">
        <f>'📊 Stock Analysis'!L47</f>
        <v/>
      </c>
      <c r="G60" s="65">
        <f>IFERROR(IF('📥 Stock Data Input'!A47="","",IF('📥 Stock Data Input'!M47&lt;-0.3,"🔴 HIGH",IF(OR('📥 Stock Data Input'!M47&lt;0,'📥 Stock Data Input'!K47&lt;5000),"🟡 MEDIUM","🔵 LOW"))),"")</f>
        <v/>
      </c>
      <c r="H60" s="66">
        <f>'📊 Stock Analysis'!M47</f>
        <v/>
      </c>
    </row>
    <row r="61" ht="16.5" customHeight="1" s="82">
      <c r="A61" s="59">
        <f>'📥 Stock Data Input'!A48</f>
        <v/>
      </c>
      <c r="B61" s="42">
        <f>'📥 Stock Data Input'!K48</f>
        <v/>
      </c>
      <c r="C61" s="43">
        <f>'📥 Stock Data Input'!M48</f>
        <v/>
      </c>
      <c r="D61" s="43">
        <f>'📥 Stock Data Input'!N48</f>
        <v/>
      </c>
      <c r="E61" s="61">
        <f>'📊 Stock Analysis'!K48</f>
        <v/>
      </c>
      <c r="F61" s="61">
        <f>'📊 Stock Analysis'!L48</f>
        <v/>
      </c>
      <c r="G61" s="61">
        <f>IFERROR(IF('📥 Stock Data Input'!A48="","",IF('📥 Stock Data Input'!M48&lt;-0.3,"🔴 HIGH",IF(OR('📥 Stock Data Input'!M48&lt;0,'📥 Stock Data Input'!K48&lt;5000),"🟡 MEDIUM","🔵 LOW"))),"")</f>
        <v/>
      </c>
      <c r="H61" s="62">
        <f>'📊 Stock Analysis'!M48</f>
        <v/>
      </c>
    </row>
    <row r="62" ht="16.5" customHeight="1" s="82">
      <c r="A62" s="63">
        <f>'📥 Stock Data Input'!A49</f>
        <v/>
      </c>
      <c r="B62" s="51">
        <f>'📥 Stock Data Input'!K49</f>
        <v/>
      </c>
      <c r="C62" s="52">
        <f>'📥 Stock Data Input'!M49</f>
        <v/>
      </c>
      <c r="D62" s="52">
        <f>'📥 Stock Data Input'!N49</f>
        <v/>
      </c>
      <c r="E62" s="65">
        <f>'📊 Stock Analysis'!K49</f>
        <v/>
      </c>
      <c r="F62" s="65">
        <f>'📊 Stock Analysis'!L49</f>
        <v/>
      </c>
      <c r="G62" s="65">
        <f>IFERROR(IF('📥 Stock Data Input'!A49="","",IF('📥 Stock Data Input'!M49&lt;-0.3,"🔴 HIGH",IF(OR('📥 Stock Data Input'!M49&lt;0,'📥 Stock Data Input'!K49&lt;5000),"🟡 MEDIUM","🔵 LOW"))),"")</f>
        <v/>
      </c>
      <c r="H62" s="66">
        <f>'📊 Stock Analysis'!M49</f>
        <v/>
      </c>
    </row>
    <row r="63" ht="16.5" customHeight="1" s="82">
      <c r="A63" s="59">
        <f>'📥 Stock Data Input'!A50</f>
        <v/>
      </c>
      <c r="B63" s="42">
        <f>'📥 Stock Data Input'!K50</f>
        <v/>
      </c>
      <c r="C63" s="43">
        <f>'📥 Stock Data Input'!M50</f>
        <v/>
      </c>
      <c r="D63" s="43">
        <f>'📥 Stock Data Input'!N50</f>
        <v/>
      </c>
      <c r="E63" s="61">
        <f>'📊 Stock Analysis'!K50</f>
        <v/>
      </c>
      <c r="F63" s="61">
        <f>'📊 Stock Analysis'!L50</f>
        <v/>
      </c>
      <c r="G63" s="61">
        <f>IFERROR(IF('📥 Stock Data Input'!A50="","",IF('📥 Stock Data Input'!M50&lt;-0.3,"🔴 HIGH",IF(OR('📥 Stock Data Input'!M50&lt;0,'📥 Stock Data Input'!K50&lt;5000),"🟡 MEDIUM","🔵 LOW"))),"")</f>
        <v/>
      </c>
      <c r="H63" s="62">
        <f>'📊 Stock Analysis'!M50</f>
        <v/>
      </c>
    </row>
    <row r="64" ht="16.5" customHeight="1" s="82">
      <c r="A64" s="63">
        <f>'📥 Stock Data Input'!A51</f>
        <v/>
      </c>
      <c r="B64" s="51">
        <f>'📥 Stock Data Input'!K51</f>
        <v/>
      </c>
      <c r="C64" s="52">
        <f>'📥 Stock Data Input'!M51</f>
        <v/>
      </c>
      <c r="D64" s="52">
        <f>'📥 Stock Data Input'!N51</f>
        <v/>
      </c>
      <c r="E64" s="65">
        <f>'📊 Stock Analysis'!K51</f>
        <v/>
      </c>
      <c r="F64" s="65">
        <f>'📊 Stock Analysis'!L51</f>
        <v/>
      </c>
      <c r="G64" s="65">
        <f>IFERROR(IF('📥 Stock Data Input'!A51="","",IF('📥 Stock Data Input'!M51&lt;-0.3,"🔴 HIGH",IF(OR('📥 Stock Data Input'!M51&lt;0,'📥 Stock Data Input'!K51&lt;5000),"🟡 MEDIUM","🔵 LOW"))),"")</f>
        <v/>
      </c>
      <c r="H64" s="66">
        <f>'📊 Stock Analysis'!M51</f>
        <v/>
      </c>
    </row>
    <row r="65" ht="16.5" customHeight="1" s="82">
      <c r="A65" s="59">
        <f>'📥 Stock Data Input'!A52</f>
        <v/>
      </c>
      <c r="B65" s="42">
        <f>'📥 Stock Data Input'!K52</f>
        <v/>
      </c>
      <c r="C65" s="43">
        <f>'📥 Stock Data Input'!M52</f>
        <v/>
      </c>
      <c r="D65" s="43">
        <f>'📥 Stock Data Input'!N52</f>
        <v/>
      </c>
      <c r="E65" s="61">
        <f>'📊 Stock Analysis'!K52</f>
        <v/>
      </c>
      <c r="F65" s="61">
        <f>'📊 Stock Analysis'!L52</f>
        <v/>
      </c>
      <c r="G65" s="61">
        <f>IFERROR(IF('📥 Stock Data Input'!A52="","",IF('📥 Stock Data Input'!M52&lt;-0.3,"🔴 HIGH",IF(OR('📥 Stock Data Input'!M52&lt;0,'📥 Stock Data Input'!K52&lt;5000),"🟡 MEDIUM","🔵 LOW"))),"")</f>
        <v/>
      </c>
      <c r="H65" s="62">
        <f>'📊 Stock Analysis'!M52</f>
        <v/>
      </c>
    </row>
    <row r="66" ht="16.5" customHeight="1" s="82">
      <c r="A66" s="63">
        <f>'📥 Stock Data Input'!A53</f>
        <v/>
      </c>
      <c r="B66" s="51">
        <f>'📥 Stock Data Input'!K53</f>
        <v/>
      </c>
      <c r="C66" s="52">
        <f>'📥 Stock Data Input'!M53</f>
        <v/>
      </c>
      <c r="D66" s="52">
        <f>'📥 Stock Data Input'!N53</f>
        <v/>
      </c>
      <c r="E66" s="65">
        <f>'📊 Stock Analysis'!K53</f>
        <v/>
      </c>
      <c r="F66" s="65">
        <f>'📊 Stock Analysis'!L53</f>
        <v/>
      </c>
      <c r="G66" s="65">
        <f>IFERROR(IF('📥 Stock Data Input'!A53="","",IF('📥 Stock Data Input'!M53&lt;-0.3,"🔴 HIGH",IF(OR('📥 Stock Data Input'!M53&lt;0,'📥 Stock Data Input'!K53&lt;5000),"🟡 MEDIUM","🔵 LOW"))),"")</f>
        <v/>
      </c>
      <c r="H66" s="66">
        <f>'📊 Stock Analysis'!M53</f>
        <v/>
      </c>
    </row>
    <row r="67" ht="16.5" customHeight="1" s="82">
      <c r="A67" s="59">
        <f>'📥 Stock Data Input'!A54</f>
        <v/>
      </c>
      <c r="B67" s="42">
        <f>'📥 Stock Data Input'!K54</f>
        <v/>
      </c>
      <c r="C67" s="43">
        <f>'📥 Stock Data Input'!M54</f>
        <v/>
      </c>
      <c r="D67" s="43">
        <f>'📥 Stock Data Input'!N54</f>
        <v/>
      </c>
      <c r="E67" s="61">
        <f>'📊 Stock Analysis'!K54</f>
        <v/>
      </c>
      <c r="F67" s="61">
        <f>'📊 Stock Analysis'!L54</f>
        <v/>
      </c>
      <c r="G67" s="61">
        <f>IFERROR(IF('📥 Stock Data Input'!A54="","",IF('📥 Stock Data Input'!M54&lt;-0.3,"🔴 HIGH",IF(OR('📥 Stock Data Input'!M54&lt;0,'📥 Stock Data Input'!K54&lt;5000),"🟡 MEDIUM","🔵 LOW"))),"")</f>
        <v/>
      </c>
      <c r="H67" s="62">
        <f>'📊 Stock Analysis'!M54</f>
        <v/>
      </c>
    </row>
    <row r="68" ht="14.25" customHeight="1" s="82"/>
    <row r="69" ht="21.75" customHeight="1" s="82">
      <c r="A69" s="94" t="inlineStr">
        <is>
          <t>DETAILED ACTION FLAGS — MUTUAL FUNDS</t>
        </is>
      </c>
    </row>
    <row r="70" ht="24" customHeight="1" s="82">
      <c r="A70" s="33" t="inlineStr">
        <is>
          <t>Fund Name</t>
        </is>
      </c>
      <c r="B70" s="33" t="inlineStr">
        <is>
          <t>AMC</t>
        </is>
      </c>
      <c r="C70" s="33" t="inlineStr">
        <is>
          <t>Category</t>
        </is>
      </c>
      <c r="D70" s="33" t="inlineStr">
        <is>
          <t>Current Value (₹)</t>
        </is>
      </c>
      <c r="E70" s="33" t="inlineStr">
        <is>
          <t>CAGR %</t>
        </is>
      </c>
      <c r="F70" s="33" t="inlineStr">
        <is>
          <t>Alpha vs Benchmark</t>
        </is>
      </c>
      <c r="G70" s="33" t="inlineStr">
        <is>
          <t>Signal</t>
        </is>
      </c>
      <c r="H70" s="33" t="inlineStr">
        <is>
          <t>Recommended Action</t>
        </is>
      </c>
    </row>
    <row r="71" ht="16.5" customHeight="1" s="82">
      <c r="A71" s="59">
        <f>'📥 MF Data Input'!A5</f>
        <v/>
      </c>
      <c r="B71" s="59">
        <f>'📥 MF Data Input'!B5</f>
        <v/>
      </c>
      <c r="C71" s="59">
        <f>'📥 MF Data Input'!C5</f>
        <v/>
      </c>
      <c r="D71" s="42">
        <f>'📥 MF Data Input'!L5</f>
        <v/>
      </c>
      <c r="E71" s="43">
        <f>'📊 MF Analysis'!H5</f>
        <v/>
      </c>
      <c r="F71" s="43">
        <f>'📊 MF Analysis'!J5</f>
        <v/>
      </c>
      <c r="G71" s="61">
        <f>'📊 MF Analysis'!K5</f>
        <v/>
      </c>
      <c r="H71" s="62">
        <f>'📊 MF Analysis'!L5</f>
        <v/>
      </c>
    </row>
    <row r="72" ht="16.5" customHeight="1" s="82">
      <c r="A72" s="63">
        <f>'📥 MF Data Input'!A6</f>
        <v/>
      </c>
      <c r="B72" s="63">
        <f>'📥 MF Data Input'!B6</f>
        <v/>
      </c>
      <c r="C72" s="63">
        <f>'📥 MF Data Input'!C6</f>
        <v/>
      </c>
      <c r="D72" s="51">
        <f>'📥 MF Data Input'!L6</f>
        <v/>
      </c>
      <c r="E72" s="52">
        <f>'📊 MF Analysis'!H6</f>
        <v/>
      </c>
      <c r="F72" s="52">
        <f>'📊 MF Analysis'!J6</f>
        <v/>
      </c>
      <c r="G72" s="65">
        <f>'📊 MF Analysis'!K6</f>
        <v/>
      </c>
      <c r="H72" s="66">
        <f>'📊 MF Analysis'!L6</f>
        <v/>
      </c>
    </row>
    <row r="73" ht="16.5" customHeight="1" s="82">
      <c r="A73" s="59">
        <f>'📥 MF Data Input'!A7</f>
        <v/>
      </c>
      <c r="B73" s="59">
        <f>'📥 MF Data Input'!B7</f>
        <v/>
      </c>
      <c r="C73" s="59">
        <f>'📥 MF Data Input'!C7</f>
        <v/>
      </c>
      <c r="D73" s="42">
        <f>'📥 MF Data Input'!L7</f>
        <v/>
      </c>
      <c r="E73" s="43">
        <f>'📊 MF Analysis'!H7</f>
        <v/>
      </c>
      <c r="F73" s="43">
        <f>'📊 MF Analysis'!J7</f>
        <v/>
      </c>
      <c r="G73" s="61">
        <f>'📊 MF Analysis'!K7</f>
        <v/>
      </c>
      <c r="H73" s="62">
        <f>'📊 MF Analysis'!L7</f>
        <v/>
      </c>
    </row>
    <row r="74" ht="16.5" customHeight="1" s="82">
      <c r="A74" s="63">
        <f>'📥 MF Data Input'!A8</f>
        <v/>
      </c>
      <c r="B74" s="63">
        <f>'📥 MF Data Input'!B8</f>
        <v/>
      </c>
      <c r="C74" s="63">
        <f>'📥 MF Data Input'!C8</f>
        <v/>
      </c>
      <c r="D74" s="51">
        <f>'📥 MF Data Input'!L8</f>
        <v/>
      </c>
      <c r="E74" s="52">
        <f>'📊 MF Analysis'!H8</f>
        <v/>
      </c>
      <c r="F74" s="52">
        <f>'📊 MF Analysis'!J8</f>
        <v/>
      </c>
      <c r="G74" s="65">
        <f>'📊 MF Analysis'!K8</f>
        <v/>
      </c>
      <c r="H74" s="66">
        <f>'📊 MF Analysis'!L8</f>
        <v/>
      </c>
    </row>
    <row r="75" ht="16.5" customHeight="1" s="82">
      <c r="A75" s="59">
        <f>'📥 MF Data Input'!A9</f>
        <v/>
      </c>
      <c r="B75" s="59">
        <f>'📥 MF Data Input'!B9</f>
        <v/>
      </c>
      <c r="C75" s="59">
        <f>'📥 MF Data Input'!C9</f>
        <v/>
      </c>
      <c r="D75" s="42">
        <f>'📥 MF Data Input'!L9</f>
        <v/>
      </c>
      <c r="E75" s="43">
        <f>'📊 MF Analysis'!H9</f>
        <v/>
      </c>
      <c r="F75" s="43">
        <f>'📊 MF Analysis'!J9</f>
        <v/>
      </c>
      <c r="G75" s="61">
        <f>'📊 MF Analysis'!K9</f>
        <v/>
      </c>
      <c r="H75" s="62">
        <f>'📊 MF Analysis'!L9</f>
        <v/>
      </c>
    </row>
    <row r="76" ht="16.5" customHeight="1" s="82">
      <c r="A76" s="63">
        <f>'📥 MF Data Input'!A10</f>
        <v/>
      </c>
      <c r="B76" s="63">
        <f>'📥 MF Data Input'!B10</f>
        <v/>
      </c>
      <c r="C76" s="63">
        <f>'📥 MF Data Input'!C10</f>
        <v/>
      </c>
      <c r="D76" s="51">
        <f>'📥 MF Data Input'!L10</f>
        <v/>
      </c>
      <c r="E76" s="52">
        <f>'📊 MF Analysis'!H10</f>
        <v/>
      </c>
      <c r="F76" s="52">
        <f>'📊 MF Analysis'!J10</f>
        <v/>
      </c>
      <c r="G76" s="65">
        <f>'📊 MF Analysis'!K10</f>
        <v/>
      </c>
      <c r="H76" s="66">
        <f>'📊 MF Analysis'!L10</f>
        <v/>
      </c>
    </row>
    <row r="77" ht="16.5" customHeight="1" s="82">
      <c r="A77" s="59">
        <f>'📥 MF Data Input'!A11</f>
        <v/>
      </c>
      <c r="B77" s="59">
        <f>'📥 MF Data Input'!B11</f>
        <v/>
      </c>
      <c r="C77" s="59">
        <f>'📥 MF Data Input'!C11</f>
        <v/>
      </c>
      <c r="D77" s="42">
        <f>'📥 MF Data Input'!L11</f>
        <v/>
      </c>
      <c r="E77" s="43">
        <f>'📊 MF Analysis'!H11</f>
        <v/>
      </c>
      <c r="F77" s="43">
        <f>'📊 MF Analysis'!J11</f>
        <v/>
      </c>
      <c r="G77" s="61">
        <f>'📊 MF Analysis'!K11</f>
        <v/>
      </c>
      <c r="H77" s="62">
        <f>'📊 MF Analysis'!L11</f>
        <v/>
      </c>
    </row>
    <row r="78" ht="16.5" customHeight="1" s="82">
      <c r="A78" s="63">
        <f>'📥 MF Data Input'!A12</f>
        <v/>
      </c>
      <c r="B78" s="63">
        <f>'📥 MF Data Input'!B12</f>
        <v/>
      </c>
      <c r="C78" s="63">
        <f>'📥 MF Data Input'!C12</f>
        <v/>
      </c>
      <c r="D78" s="51">
        <f>'📥 MF Data Input'!L12</f>
        <v/>
      </c>
      <c r="E78" s="52">
        <f>'📊 MF Analysis'!H12</f>
        <v/>
      </c>
      <c r="F78" s="52">
        <f>'📊 MF Analysis'!J12</f>
        <v/>
      </c>
      <c r="G78" s="65">
        <f>'📊 MF Analysis'!K12</f>
        <v/>
      </c>
      <c r="H78" s="66">
        <f>'📊 MF Analysis'!L12</f>
        <v/>
      </c>
    </row>
    <row r="79" ht="16.5" customHeight="1" s="82">
      <c r="A79" s="59">
        <f>'📥 MF Data Input'!A13</f>
        <v/>
      </c>
      <c r="B79" s="59">
        <f>'📥 MF Data Input'!B13</f>
        <v/>
      </c>
      <c r="C79" s="59">
        <f>'📥 MF Data Input'!C13</f>
        <v/>
      </c>
      <c r="D79" s="42">
        <f>'📥 MF Data Input'!L13</f>
        <v/>
      </c>
      <c r="E79" s="43">
        <f>'📊 MF Analysis'!H13</f>
        <v/>
      </c>
      <c r="F79" s="43">
        <f>'📊 MF Analysis'!J13</f>
        <v/>
      </c>
      <c r="G79" s="61">
        <f>'📊 MF Analysis'!K13</f>
        <v/>
      </c>
      <c r="H79" s="62">
        <f>'📊 MF Analysis'!L13</f>
        <v/>
      </c>
    </row>
    <row r="80" ht="16.5" customHeight="1" s="82">
      <c r="A80" s="63">
        <f>'📥 MF Data Input'!A14</f>
        <v/>
      </c>
      <c r="B80" s="63">
        <f>'📥 MF Data Input'!B14</f>
        <v/>
      </c>
      <c r="C80" s="63">
        <f>'📥 MF Data Input'!C14</f>
        <v/>
      </c>
      <c r="D80" s="51">
        <f>'📥 MF Data Input'!L14</f>
        <v/>
      </c>
      <c r="E80" s="52">
        <f>'📊 MF Analysis'!H14</f>
        <v/>
      </c>
      <c r="F80" s="52">
        <f>'📊 MF Analysis'!J14</f>
        <v/>
      </c>
      <c r="G80" s="65">
        <f>'📊 MF Analysis'!K14</f>
        <v/>
      </c>
      <c r="H80" s="66">
        <f>'📊 MF Analysis'!L14</f>
        <v/>
      </c>
    </row>
    <row r="81" ht="16.5" customHeight="1" s="82">
      <c r="A81" s="59">
        <f>'📥 MF Data Input'!A15</f>
        <v/>
      </c>
      <c r="B81" s="59">
        <f>'📥 MF Data Input'!B15</f>
        <v/>
      </c>
      <c r="C81" s="59">
        <f>'📥 MF Data Input'!C15</f>
        <v/>
      </c>
      <c r="D81" s="42">
        <f>'📥 MF Data Input'!L15</f>
        <v/>
      </c>
      <c r="E81" s="43">
        <f>'📊 MF Analysis'!H15</f>
        <v/>
      </c>
      <c r="F81" s="43">
        <f>'📊 MF Analysis'!J15</f>
        <v/>
      </c>
      <c r="G81" s="61">
        <f>'📊 MF Analysis'!K15</f>
        <v/>
      </c>
      <c r="H81" s="62">
        <f>'📊 MF Analysis'!L15</f>
        <v/>
      </c>
    </row>
    <row r="82" ht="16.5" customHeight="1" s="82">
      <c r="A82" s="63">
        <f>'📥 MF Data Input'!A16</f>
        <v/>
      </c>
      <c r="B82" s="63">
        <f>'📥 MF Data Input'!B16</f>
        <v/>
      </c>
      <c r="C82" s="63">
        <f>'📥 MF Data Input'!C16</f>
        <v/>
      </c>
      <c r="D82" s="51">
        <f>'📥 MF Data Input'!L16</f>
        <v/>
      </c>
      <c r="E82" s="52">
        <f>'📊 MF Analysis'!H16</f>
        <v/>
      </c>
      <c r="F82" s="52">
        <f>'📊 MF Analysis'!J16</f>
        <v/>
      </c>
      <c r="G82" s="65">
        <f>'📊 MF Analysis'!K16</f>
        <v/>
      </c>
      <c r="H82" s="66">
        <f>'📊 MF Analysis'!L16</f>
        <v/>
      </c>
    </row>
    <row r="83" ht="16.5" customHeight="1" s="82">
      <c r="A83" s="59">
        <f>'📥 MF Data Input'!A17</f>
        <v/>
      </c>
      <c r="B83" s="59">
        <f>'📥 MF Data Input'!B17</f>
        <v/>
      </c>
      <c r="C83" s="59">
        <f>'📥 MF Data Input'!C17</f>
        <v/>
      </c>
      <c r="D83" s="42">
        <f>'📥 MF Data Input'!L17</f>
        <v/>
      </c>
      <c r="E83" s="43">
        <f>'📊 MF Analysis'!H17</f>
        <v/>
      </c>
      <c r="F83" s="43">
        <f>'📊 MF Analysis'!J17</f>
        <v/>
      </c>
      <c r="G83" s="61">
        <f>'📊 MF Analysis'!K17</f>
        <v/>
      </c>
      <c r="H83" s="62">
        <f>'📊 MF Analysis'!L17</f>
        <v/>
      </c>
    </row>
    <row r="84" ht="16.5" customHeight="1" s="82">
      <c r="A84" s="63">
        <f>'📥 MF Data Input'!A18</f>
        <v/>
      </c>
      <c r="B84" s="63">
        <f>'📥 MF Data Input'!B18</f>
        <v/>
      </c>
      <c r="C84" s="63">
        <f>'📥 MF Data Input'!C18</f>
        <v/>
      </c>
      <c r="D84" s="51">
        <f>'📥 MF Data Input'!L18</f>
        <v/>
      </c>
      <c r="E84" s="52">
        <f>'📊 MF Analysis'!H18</f>
        <v/>
      </c>
      <c r="F84" s="52">
        <f>'📊 MF Analysis'!J18</f>
        <v/>
      </c>
      <c r="G84" s="65">
        <f>'📊 MF Analysis'!K18</f>
        <v/>
      </c>
      <c r="H84" s="66">
        <f>'📊 MF Analysis'!L18</f>
        <v/>
      </c>
    </row>
    <row r="85" ht="16.5" customHeight="1" s="82">
      <c r="A85" s="59">
        <f>'📥 MF Data Input'!A19</f>
        <v/>
      </c>
      <c r="B85" s="59">
        <f>'📥 MF Data Input'!B19</f>
        <v/>
      </c>
      <c r="C85" s="59">
        <f>'📥 MF Data Input'!C19</f>
        <v/>
      </c>
      <c r="D85" s="42">
        <f>'📥 MF Data Input'!L19</f>
        <v/>
      </c>
      <c r="E85" s="43">
        <f>'📊 MF Analysis'!H19</f>
        <v/>
      </c>
      <c r="F85" s="43">
        <f>'📊 MF Analysis'!J19</f>
        <v/>
      </c>
      <c r="G85" s="61">
        <f>'📊 MF Analysis'!K19</f>
        <v/>
      </c>
      <c r="H85" s="62">
        <f>'📊 MF Analysis'!L19</f>
        <v/>
      </c>
    </row>
    <row r="86" ht="16.5" customHeight="1" s="82">
      <c r="A86" s="63">
        <f>'📥 MF Data Input'!A20</f>
        <v/>
      </c>
      <c r="B86" s="63">
        <f>'📥 MF Data Input'!B20</f>
        <v/>
      </c>
      <c r="C86" s="63">
        <f>'📥 MF Data Input'!C20</f>
        <v/>
      </c>
      <c r="D86" s="51">
        <f>'📥 MF Data Input'!L20</f>
        <v/>
      </c>
      <c r="E86" s="52">
        <f>'📊 MF Analysis'!H20</f>
        <v/>
      </c>
      <c r="F86" s="52">
        <f>'📊 MF Analysis'!J20</f>
        <v/>
      </c>
      <c r="G86" s="65">
        <f>'📊 MF Analysis'!K20</f>
        <v/>
      </c>
      <c r="H86" s="66">
        <f>'📊 MF Analysis'!L20</f>
        <v/>
      </c>
    </row>
    <row r="87" ht="16.5" customHeight="1" s="82">
      <c r="A87" s="59">
        <f>'📥 MF Data Input'!A21</f>
        <v/>
      </c>
      <c r="B87" s="59">
        <f>'📥 MF Data Input'!B21</f>
        <v/>
      </c>
      <c r="C87" s="59">
        <f>'📥 MF Data Input'!C21</f>
        <v/>
      </c>
      <c r="D87" s="42">
        <f>'📥 MF Data Input'!L21</f>
        <v/>
      </c>
      <c r="E87" s="43">
        <f>'📊 MF Analysis'!H21</f>
        <v/>
      </c>
      <c r="F87" s="43">
        <f>'📊 MF Analysis'!J21</f>
        <v/>
      </c>
      <c r="G87" s="61">
        <f>'📊 MF Analysis'!K21</f>
        <v/>
      </c>
      <c r="H87" s="62">
        <f>'📊 MF Analysis'!L21</f>
        <v/>
      </c>
    </row>
    <row r="88" ht="16.5" customHeight="1" s="82">
      <c r="A88" s="63">
        <f>'📥 MF Data Input'!A22</f>
        <v/>
      </c>
      <c r="B88" s="63">
        <f>'📥 MF Data Input'!B22</f>
        <v/>
      </c>
      <c r="C88" s="63">
        <f>'📥 MF Data Input'!C22</f>
        <v/>
      </c>
      <c r="D88" s="51">
        <f>'📥 MF Data Input'!L22</f>
        <v/>
      </c>
      <c r="E88" s="52">
        <f>'📊 MF Analysis'!H22</f>
        <v/>
      </c>
      <c r="F88" s="52">
        <f>'📊 MF Analysis'!J22</f>
        <v/>
      </c>
      <c r="G88" s="65">
        <f>'📊 MF Analysis'!K22</f>
        <v/>
      </c>
      <c r="H88" s="66">
        <f>'📊 MF Analysis'!L22</f>
        <v/>
      </c>
    </row>
    <row r="89" ht="16.5" customHeight="1" s="82">
      <c r="A89" s="59">
        <f>'📥 MF Data Input'!A23</f>
        <v/>
      </c>
      <c r="B89" s="59">
        <f>'📥 MF Data Input'!B23</f>
        <v/>
      </c>
      <c r="C89" s="59">
        <f>'📥 MF Data Input'!C23</f>
        <v/>
      </c>
      <c r="D89" s="42">
        <f>'📥 MF Data Input'!L23</f>
        <v/>
      </c>
      <c r="E89" s="43">
        <f>'📊 MF Analysis'!H23</f>
        <v/>
      </c>
      <c r="F89" s="43">
        <f>'📊 MF Analysis'!J23</f>
        <v/>
      </c>
      <c r="G89" s="61">
        <f>'📊 MF Analysis'!K23</f>
        <v/>
      </c>
      <c r="H89" s="62">
        <f>'📊 MF Analysis'!L23</f>
        <v/>
      </c>
    </row>
    <row r="90" ht="16.5" customHeight="1" s="82">
      <c r="A90" s="63">
        <f>'📥 MF Data Input'!A24</f>
        <v/>
      </c>
      <c r="B90" s="63">
        <f>'📥 MF Data Input'!B24</f>
        <v/>
      </c>
      <c r="C90" s="63">
        <f>'📥 MF Data Input'!C24</f>
        <v/>
      </c>
      <c r="D90" s="51">
        <f>'📥 MF Data Input'!L24</f>
        <v/>
      </c>
      <c r="E90" s="52">
        <f>'📊 MF Analysis'!H24</f>
        <v/>
      </c>
      <c r="F90" s="52">
        <f>'📊 MF Analysis'!J24</f>
        <v/>
      </c>
      <c r="G90" s="65">
        <f>'📊 MF Analysis'!K24</f>
        <v/>
      </c>
      <c r="H90" s="66">
        <f>'📊 MF Analysis'!L24</f>
        <v/>
      </c>
    </row>
    <row r="91" ht="16.5" customHeight="1" s="82">
      <c r="A91" s="59">
        <f>'📥 MF Data Input'!A25</f>
        <v/>
      </c>
      <c r="B91" s="59">
        <f>'📥 MF Data Input'!B25</f>
        <v/>
      </c>
      <c r="C91" s="59">
        <f>'📥 MF Data Input'!C25</f>
        <v/>
      </c>
      <c r="D91" s="42">
        <f>'📥 MF Data Input'!L25</f>
        <v/>
      </c>
      <c r="E91" s="43">
        <f>'📊 MF Analysis'!H25</f>
        <v/>
      </c>
      <c r="F91" s="43">
        <f>'📊 MF Analysis'!J25</f>
        <v/>
      </c>
      <c r="G91" s="61">
        <f>'📊 MF Analysis'!K25</f>
        <v/>
      </c>
      <c r="H91" s="62">
        <f>'📊 MF Analysis'!L25</f>
        <v/>
      </c>
    </row>
    <row r="92" ht="16.5" customHeight="1" s="82">
      <c r="A92" s="63">
        <f>'📥 MF Data Input'!A26</f>
        <v/>
      </c>
      <c r="B92" s="63">
        <f>'📥 MF Data Input'!B26</f>
        <v/>
      </c>
      <c r="C92" s="63">
        <f>'📥 MF Data Input'!C26</f>
        <v/>
      </c>
      <c r="D92" s="51">
        <f>'📥 MF Data Input'!L26</f>
        <v/>
      </c>
      <c r="E92" s="52">
        <f>'📊 MF Analysis'!H26</f>
        <v/>
      </c>
      <c r="F92" s="52">
        <f>'📊 MF Analysis'!J26</f>
        <v/>
      </c>
      <c r="G92" s="65">
        <f>'📊 MF Analysis'!K26</f>
        <v/>
      </c>
      <c r="H92" s="66">
        <f>'📊 MF Analysis'!L26</f>
        <v/>
      </c>
    </row>
    <row r="93" ht="16.5" customHeight="1" s="82">
      <c r="A93" s="59">
        <f>'📥 MF Data Input'!A27</f>
        <v/>
      </c>
      <c r="B93" s="59">
        <f>'📥 MF Data Input'!B27</f>
        <v/>
      </c>
      <c r="C93" s="59">
        <f>'📥 MF Data Input'!C27</f>
        <v/>
      </c>
      <c r="D93" s="42">
        <f>'📥 MF Data Input'!L27</f>
        <v/>
      </c>
      <c r="E93" s="43">
        <f>'📊 MF Analysis'!H27</f>
        <v/>
      </c>
      <c r="F93" s="43">
        <f>'📊 MF Analysis'!J27</f>
        <v/>
      </c>
      <c r="G93" s="61">
        <f>'📊 MF Analysis'!K27</f>
        <v/>
      </c>
      <c r="H93" s="62">
        <f>'📊 MF Analysis'!L27</f>
        <v/>
      </c>
    </row>
    <row r="94" ht="16.5" customHeight="1" s="82">
      <c r="A94" s="63">
        <f>'📥 MF Data Input'!A28</f>
        <v/>
      </c>
      <c r="B94" s="63">
        <f>'📥 MF Data Input'!B28</f>
        <v/>
      </c>
      <c r="C94" s="63">
        <f>'📥 MF Data Input'!C28</f>
        <v/>
      </c>
      <c r="D94" s="51">
        <f>'📥 MF Data Input'!L28</f>
        <v/>
      </c>
      <c r="E94" s="52">
        <f>'📊 MF Analysis'!H28</f>
        <v/>
      </c>
      <c r="F94" s="52">
        <f>'📊 MF Analysis'!J28</f>
        <v/>
      </c>
      <c r="G94" s="65">
        <f>'📊 MF Analysis'!K28</f>
        <v/>
      </c>
      <c r="H94" s="66">
        <f>'📊 MF Analysis'!L28</f>
        <v/>
      </c>
    </row>
    <row r="95" ht="16.5" customHeight="1" s="82">
      <c r="A95" s="59">
        <f>'📥 MF Data Input'!A29</f>
        <v/>
      </c>
      <c r="B95" s="59">
        <f>'📥 MF Data Input'!B29</f>
        <v/>
      </c>
      <c r="C95" s="59">
        <f>'📥 MF Data Input'!C29</f>
        <v/>
      </c>
      <c r="D95" s="42">
        <f>'📥 MF Data Input'!L29</f>
        <v/>
      </c>
      <c r="E95" s="43">
        <f>'📊 MF Analysis'!H29</f>
        <v/>
      </c>
      <c r="F95" s="43">
        <f>'📊 MF Analysis'!J29</f>
        <v/>
      </c>
      <c r="G95" s="61">
        <f>'📊 MF Analysis'!K29</f>
        <v/>
      </c>
      <c r="H95" s="62">
        <f>'📊 MF Analysis'!L29</f>
        <v/>
      </c>
    </row>
    <row r="96" ht="16.5" customHeight="1" s="82">
      <c r="A96" s="63">
        <f>'📥 MF Data Input'!A30</f>
        <v/>
      </c>
      <c r="B96" s="63">
        <f>'📥 MF Data Input'!B30</f>
        <v/>
      </c>
      <c r="C96" s="63">
        <f>'📥 MF Data Input'!C30</f>
        <v/>
      </c>
      <c r="D96" s="51">
        <f>'📥 MF Data Input'!L30</f>
        <v/>
      </c>
      <c r="E96" s="52">
        <f>'📊 MF Analysis'!H30</f>
        <v/>
      </c>
      <c r="F96" s="52">
        <f>'📊 MF Analysis'!J30</f>
        <v/>
      </c>
      <c r="G96" s="65">
        <f>'📊 MF Analysis'!K30</f>
        <v/>
      </c>
      <c r="H96" s="66">
        <f>'📊 MF Analysis'!L30</f>
        <v/>
      </c>
    </row>
    <row r="97" ht="16.5" customHeight="1" s="82">
      <c r="A97" s="59">
        <f>'📥 MF Data Input'!A31</f>
        <v/>
      </c>
      <c r="B97" s="59">
        <f>'📥 MF Data Input'!B31</f>
        <v/>
      </c>
      <c r="C97" s="59">
        <f>'📥 MF Data Input'!C31</f>
        <v/>
      </c>
      <c r="D97" s="42">
        <f>'📥 MF Data Input'!L31</f>
        <v/>
      </c>
      <c r="E97" s="43">
        <f>'📊 MF Analysis'!H31</f>
        <v/>
      </c>
      <c r="F97" s="43">
        <f>'📊 MF Analysis'!J31</f>
        <v/>
      </c>
      <c r="G97" s="61">
        <f>'📊 MF Analysis'!K31</f>
        <v/>
      </c>
      <c r="H97" s="62">
        <f>'📊 MF Analysis'!L31</f>
        <v/>
      </c>
    </row>
    <row r="98" ht="16.5" customHeight="1" s="82">
      <c r="A98" s="63">
        <f>'📥 MF Data Input'!A32</f>
        <v/>
      </c>
      <c r="B98" s="63">
        <f>'📥 MF Data Input'!B32</f>
        <v/>
      </c>
      <c r="C98" s="63">
        <f>'📥 MF Data Input'!C32</f>
        <v/>
      </c>
      <c r="D98" s="51">
        <f>'📥 MF Data Input'!L32</f>
        <v/>
      </c>
      <c r="E98" s="52">
        <f>'📊 MF Analysis'!H32</f>
        <v/>
      </c>
      <c r="F98" s="52">
        <f>'📊 MF Analysis'!J32</f>
        <v/>
      </c>
      <c r="G98" s="65">
        <f>'📊 MF Analysis'!K32</f>
        <v/>
      </c>
      <c r="H98" s="66">
        <f>'📊 MF Analysis'!L32</f>
        <v/>
      </c>
    </row>
    <row r="99" ht="16.5" customHeight="1" s="82">
      <c r="A99" s="59">
        <f>'📥 MF Data Input'!A33</f>
        <v/>
      </c>
      <c r="B99" s="59">
        <f>'📥 MF Data Input'!B33</f>
        <v/>
      </c>
      <c r="C99" s="59">
        <f>'📥 MF Data Input'!C33</f>
        <v/>
      </c>
      <c r="D99" s="42">
        <f>'📥 MF Data Input'!L33</f>
        <v/>
      </c>
      <c r="E99" s="43">
        <f>'📊 MF Analysis'!H33</f>
        <v/>
      </c>
      <c r="F99" s="43">
        <f>'📊 MF Analysis'!J33</f>
        <v/>
      </c>
      <c r="G99" s="61">
        <f>'📊 MF Analysis'!K33</f>
        <v/>
      </c>
      <c r="H99" s="62">
        <f>'📊 MF Analysis'!L33</f>
        <v/>
      </c>
    </row>
    <row r="100" ht="16.5" customHeight="1" s="82">
      <c r="A100" s="63">
        <f>'📥 MF Data Input'!A34</f>
        <v/>
      </c>
      <c r="B100" s="63">
        <f>'📥 MF Data Input'!B34</f>
        <v/>
      </c>
      <c r="C100" s="63">
        <f>'📥 MF Data Input'!C34</f>
        <v/>
      </c>
      <c r="D100" s="51">
        <f>'📥 MF Data Input'!L34</f>
        <v/>
      </c>
      <c r="E100" s="52">
        <f>'📊 MF Analysis'!H34</f>
        <v/>
      </c>
      <c r="F100" s="52">
        <f>'📊 MF Analysis'!J34</f>
        <v/>
      </c>
      <c r="G100" s="65">
        <f>'📊 MF Analysis'!K34</f>
        <v/>
      </c>
      <c r="H100" s="66">
        <f>'📊 MF Analysis'!L34</f>
        <v/>
      </c>
    </row>
    <row r="101" ht="16.5" customHeight="1" s="82">
      <c r="A101" s="59">
        <f>'📥 MF Data Input'!A35</f>
        <v/>
      </c>
      <c r="B101" s="59">
        <f>'📥 MF Data Input'!B35</f>
        <v/>
      </c>
      <c r="C101" s="59">
        <f>'📥 MF Data Input'!C35</f>
        <v/>
      </c>
      <c r="D101" s="42">
        <f>'📥 MF Data Input'!L35</f>
        <v/>
      </c>
      <c r="E101" s="43">
        <f>'📊 MF Analysis'!H35</f>
        <v/>
      </c>
      <c r="F101" s="43">
        <f>'📊 MF Analysis'!J35</f>
        <v/>
      </c>
      <c r="G101" s="61">
        <f>'📊 MF Analysis'!K35</f>
        <v/>
      </c>
      <c r="H101" s="62">
        <f>'📊 MF Analysis'!L35</f>
        <v/>
      </c>
    </row>
    <row r="102" ht="16.5" customHeight="1" s="82">
      <c r="A102" s="63">
        <f>'📥 MF Data Input'!A36</f>
        <v/>
      </c>
      <c r="B102" s="63">
        <f>'📥 MF Data Input'!B36</f>
        <v/>
      </c>
      <c r="C102" s="63">
        <f>'📥 MF Data Input'!C36</f>
        <v/>
      </c>
      <c r="D102" s="51">
        <f>'📥 MF Data Input'!L36</f>
        <v/>
      </c>
      <c r="E102" s="52">
        <f>'📊 MF Analysis'!H36</f>
        <v/>
      </c>
      <c r="F102" s="52">
        <f>'📊 MF Analysis'!J36</f>
        <v/>
      </c>
      <c r="G102" s="65">
        <f>'📊 MF Analysis'!K36</f>
        <v/>
      </c>
      <c r="H102" s="66">
        <f>'📊 MF Analysis'!L36</f>
        <v/>
      </c>
    </row>
    <row r="103" ht="16.5" customHeight="1" s="82">
      <c r="A103" s="59">
        <f>'📥 MF Data Input'!A37</f>
        <v/>
      </c>
      <c r="B103" s="59">
        <f>'📥 MF Data Input'!B37</f>
        <v/>
      </c>
      <c r="C103" s="59">
        <f>'📥 MF Data Input'!C37</f>
        <v/>
      </c>
      <c r="D103" s="42">
        <f>'📥 MF Data Input'!L37</f>
        <v/>
      </c>
      <c r="E103" s="43">
        <f>'📊 MF Analysis'!H37</f>
        <v/>
      </c>
      <c r="F103" s="43">
        <f>'📊 MF Analysis'!J37</f>
        <v/>
      </c>
      <c r="G103" s="61">
        <f>'📊 MF Analysis'!K37</f>
        <v/>
      </c>
      <c r="H103" s="62">
        <f>'📊 MF Analysis'!L37</f>
        <v/>
      </c>
    </row>
    <row r="104" ht="16.5" customHeight="1" s="82">
      <c r="A104" s="63">
        <f>'📥 MF Data Input'!A38</f>
        <v/>
      </c>
      <c r="B104" s="63">
        <f>'📥 MF Data Input'!B38</f>
        <v/>
      </c>
      <c r="C104" s="63">
        <f>'📥 MF Data Input'!C38</f>
        <v/>
      </c>
      <c r="D104" s="51">
        <f>'📥 MF Data Input'!L38</f>
        <v/>
      </c>
      <c r="E104" s="52">
        <f>'📊 MF Analysis'!H38</f>
        <v/>
      </c>
      <c r="F104" s="52">
        <f>'📊 MF Analysis'!J38</f>
        <v/>
      </c>
      <c r="G104" s="65">
        <f>'📊 MF Analysis'!K38</f>
        <v/>
      </c>
      <c r="H104" s="66">
        <f>'📊 MF Analysis'!L38</f>
        <v/>
      </c>
    </row>
    <row r="105" ht="16.5" customHeight="1" s="82">
      <c r="A105" s="59">
        <f>'📥 MF Data Input'!A39</f>
        <v/>
      </c>
      <c r="B105" s="59">
        <f>'📥 MF Data Input'!B39</f>
        <v/>
      </c>
      <c r="C105" s="59">
        <f>'📥 MF Data Input'!C39</f>
        <v/>
      </c>
      <c r="D105" s="42">
        <f>'📥 MF Data Input'!L39</f>
        <v/>
      </c>
      <c r="E105" s="43">
        <f>'📊 MF Analysis'!H39</f>
        <v/>
      </c>
      <c r="F105" s="43">
        <f>'📊 MF Analysis'!J39</f>
        <v/>
      </c>
      <c r="G105" s="61">
        <f>'📊 MF Analysis'!K39</f>
        <v/>
      </c>
      <c r="H105" s="62">
        <f>'📊 MF Analysis'!L39</f>
        <v/>
      </c>
    </row>
    <row r="106" ht="16.5" customHeight="1" s="82">
      <c r="A106" s="63">
        <f>'📥 MF Data Input'!A40</f>
        <v/>
      </c>
      <c r="B106" s="63">
        <f>'📥 MF Data Input'!B40</f>
        <v/>
      </c>
      <c r="C106" s="63">
        <f>'📥 MF Data Input'!C40</f>
        <v/>
      </c>
      <c r="D106" s="51">
        <f>'📥 MF Data Input'!L40</f>
        <v/>
      </c>
      <c r="E106" s="52">
        <f>'📊 MF Analysis'!H40</f>
        <v/>
      </c>
      <c r="F106" s="52">
        <f>'📊 MF Analysis'!J40</f>
        <v/>
      </c>
      <c r="G106" s="65">
        <f>'📊 MF Analysis'!K40</f>
        <v/>
      </c>
      <c r="H106" s="66">
        <f>'📊 MF Analysis'!L40</f>
        <v/>
      </c>
    </row>
    <row r="107" ht="16.5" customHeight="1" s="82">
      <c r="A107" s="59">
        <f>'📥 MF Data Input'!A41</f>
        <v/>
      </c>
      <c r="B107" s="59">
        <f>'📥 MF Data Input'!B41</f>
        <v/>
      </c>
      <c r="C107" s="59">
        <f>'📥 MF Data Input'!C41</f>
        <v/>
      </c>
      <c r="D107" s="42">
        <f>'📥 MF Data Input'!L41</f>
        <v/>
      </c>
      <c r="E107" s="43">
        <f>'📊 MF Analysis'!H41</f>
        <v/>
      </c>
      <c r="F107" s="43">
        <f>'📊 MF Analysis'!J41</f>
        <v/>
      </c>
      <c r="G107" s="61">
        <f>'📊 MF Analysis'!K41</f>
        <v/>
      </c>
      <c r="H107" s="62">
        <f>'📊 MF Analysis'!L41</f>
        <v/>
      </c>
    </row>
    <row r="108" ht="16.5" customHeight="1" s="82">
      <c r="A108" s="63">
        <f>'📥 MF Data Input'!A42</f>
        <v/>
      </c>
      <c r="B108" s="63">
        <f>'📥 MF Data Input'!B42</f>
        <v/>
      </c>
      <c r="C108" s="63">
        <f>'📥 MF Data Input'!C42</f>
        <v/>
      </c>
      <c r="D108" s="51">
        <f>'📥 MF Data Input'!L42</f>
        <v/>
      </c>
      <c r="E108" s="52">
        <f>'📊 MF Analysis'!H42</f>
        <v/>
      </c>
      <c r="F108" s="52">
        <f>'📊 MF Analysis'!J42</f>
        <v/>
      </c>
      <c r="G108" s="65">
        <f>'📊 MF Analysis'!K42</f>
        <v/>
      </c>
      <c r="H108" s="66">
        <f>'📊 MF Analysis'!L42</f>
        <v/>
      </c>
    </row>
    <row r="109" ht="16.5" customHeight="1" s="82">
      <c r="A109" s="59">
        <f>'📥 MF Data Input'!A43</f>
        <v/>
      </c>
      <c r="B109" s="59">
        <f>'📥 MF Data Input'!B43</f>
        <v/>
      </c>
      <c r="C109" s="59">
        <f>'📥 MF Data Input'!C43</f>
        <v/>
      </c>
      <c r="D109" s="42">
        <f>'📥 MF Data Input'!L43</f>
        <v/>
      </c>
      <c r="E109" s="43">
        <f>'📊 MF Analysis'!H43</f>
        <v/>
      </c>
      <c r="F109" s="43">
        <f>'📊 MF Analysis'!J43</f>
        <v/>
      </c>
      <c r="G109" s="61">
        <f>'📊 MF Analysis'!K43</f>
        <v/>
      </c>
      <c r="H109" s="62">
        <f>'📊 MF Analysis'!L43</f>
        <v/>
      </c>
    </row>
    <row r="110" ht="16.5" customHeight="1" s="82">
      <c r="A110" s="63">
        <f>'📥 MF Data Input'!A44</f>
        <v/>
      </c>
      <c r="B110" s="63">
        <f>'📥 MF Data Input'!B44</f>
        <v/>
      </c>
      <c r="C110" s="63">
        <f>'📥 MF Data Input'!C44</f>
        <v/>
      </c>
      <c r="D110" s="51">
        <f>'📥 MF Data Input'!L44</f>
        <v/>
      </c>
      <c r="E110" s="52">
        <f>'📊 MF Analysis'!H44</f>
        <v/>
      </c>
      <c r="F110" s="52">
        <f>'📊 MF Analysis'!J44</f>
        <v/>
      </c>
      <c r="G110" s="65">
        <f>'📊 MF Analysis'!K44</f>
        <v/>
      </c>
      <c r="H110" s="66">
        <f>'📊 MF Analysis'!L44</f>
        <v/>
      </c>
    </row>
    <row r="111" ht="14.25" customHeight="1" s="82"/>
    <row r="112" ht="14.25" customHeight="1" s="82"/>
    <row r="113" ht="14.25" customHeight="1" s="82"/>
    <row r="114" ht="14.25" customHeight="1" s="82"/>
    <row r="115" ht="14.25" customHeight="1" s="82"/>
    <row r="116" ht="14.25" customHeight="1" s="82"/>
    <row r="117" ht="14.25" customHeight="1" s="82"/>
    <row r="118" ht="14.25" customHeight="1" s="82"/>
    <row r="119" ht="14.25" customHeight="1" s="82"/>
    <row r="120" ht="14.25" customHeight="1" s="82"/>
    <row r="121" ht="14.25" customHeight="1" s="82"/>
    <row r="122" ht="14.25" customHeight="1" s="82"/>
    <row r="123" ht="14.25" customHeight="1" s="82"/>
    <row r="124" ht="14.25" customHeight="1" s="82"/>
    <row r="125" ht="14.25" customHeight="1" s="82"/>
    <row r="126" ht="14.25" customHeight="1" s="82"/>
    <row r="127" ht="14.25" customHeight="1" s="82"/>
    <row r="128" ht="14.25" customHeight="1" s="82"/>
    <row r="129" ht="14.25" customHeight="1" s="82"/>
    <row r="130" ht="14.25" customHeight="1" s="82"/>
    <row r="131" ht="14.25" customHeight="1" s="82"/>
    <row r="132" ht="14.25" customHeight="1" s="82"/>
    <row r="133" ht="14.25" customHeight="1" s="82"/>
    <row r="134" ht="14.25" customHeight="1" s="82"/>
    <row r="135" ht="14.25" customHeight="1" s="82"/>
    <row r="136" ht="14.25" customHeight="1" s="82"/>
    <row r="137" ht="14.25" customHeight="1" s="82"/>
    <row r="138" ht="14.25" customHeight="1" s="82"/>
    <row r="139" ht="14.25" customHeight="1" s="82"/>
    <row r="140" ht="14.25" customHeight="1" s="82"/>
    <row r="141" ht="14.25" customHeight="1" s="82"/>
    <row r="142" ht="14.25" customHeight="1" s="82"/>
    <row r="143" ht="14.25" customHeight="1" s="82"/>
    <row r="144" ht="14.25" customHeight="1" s="82"/>
    <row r="145" ht="14.25" customHeight="1" s="82"/>
    <row r="146" ht="14.25" customHeight="1" s="82"/>
    <row r="147" ht="14.25" customHeight="1" s="82"/>
    <row r="148" ht="14.25" customHeight="1" s="82"/>
    <row r="149" ht="14.25" customHeight="1" s="82"/>
    <row r="150" ht="14.25" customHeight="1" s="82"/>
    <row r="151" ht="14.25" customHeight="1" s="82"/>
    <row r="152" ht="14.25" customHeight="1" s="82"/>
    <row r="153" ht="14.25" customHeight="1" s="82"/>
    <row r="154" ht="14.25" customHeight="1" s="82"/>
    <row r="155" ht="14.25" customHeight="1" s="82"/>
    <row r="156" ht="14.25" customHeight="1" s="82"/>
    <row r="157" ht="14.25" customHeight="1" s="82"/>
    <row r="158" ht="14.25" customHeight="1" s="82"/>
    <row r="159" ht="14.25" customHeight="1" s="82"/>
    <row r="160" ht="14.25" customHeight="1" s="82"/>
    <row r="161" ht="14.25" customHeight="1" s="82"/>
    <row r="162" ht="14.25" customHeight="1" s="82"/>
    <row r="163" ht="14.25" customHeight="1" s="82"/>
    <row r="164" ht="14.25" customHeight="1" s="82"/>
    <row r="165" ht="14.25" customHeight="1" s="82"/>
    <row r="166" ht="14.25" customHeight="1" s="82"/>
    <row r="167" ht="14.25" customHeight="1" s="82"/>
    <row r="168" ht="14.25" customHeight="1" s="82"/>
    <row r="169" ht="14.25" customHeight="1" s="82"/>
    <row r="170" ht="14.25" customHeight="1" s="82"/>
    <row r="171" ht="14.25" customHeight="1" s="82"/>
    <row r="172" ht="14.25" customHeight="1" s="82"/>
    <row r="173" ht="14.25" customHeight="1" s="82"/>
    <row r="174" ht="14.25" customHeight="1" s="82"/>
    <row r="175" ht="14.25" customHeight="1" s="82"/>
    <row r="176" ht="14.25" customHeight="1" s="82"/>
    <row r="177" ht="14.25" customHeight="1" s="82"/>
    <row r="178" ht="14.25" customHeight="1" s="82"/>
    <row r="179" ht="14.25" customHeight="1" s="82"/>
    <row r="180" ht="14.25" customHeight="1" s="82"/>
    <row r="181" ht="14.25" customHeight="1" s="82"/>
    <row r="182" ht="14.25" customHeight="1" s="82"/>
    <row r="183" ht="14.25" customHeight="1" s="82"/>
    <row r="184" ht="14.25" customHeight="1" s="82"/>
    <row r="185" ht="14.25" customHeight="1" s="82"/>
    <row r="186" ht="14.25" customHeight="1" s="82"/>
    <row r="187" ht="14.25" customHeight="1" s="82"/>
    <row r="188" ht="14.25" customHeight="1" s="82"/>
    <row r="189" ht="14.25" customHeight="1" s="82"/>
    <row r="190" ht="14.25" customHeight="1" s="82"/>
    <row r="191" ht="14.25" customHeight="1" s="82"/>
    <row r="192" ht="14.25" customHeight="1" s="82"/>
    <row r="193" ht="14.25" customHeight="1" s="82"/>
    <row r="194" ht="14.25" customHeight="1" s="82"/>
    <row r="195" ht="14.25" customHeight="1" s="82"/>
    <row r="196" ht="14.25" customHeight="1" s="82"/>
    <row r="197" ht="14.25" customHeight="1" s="82"/>
    <row r="198" ht="14.25" customHeight="1" s="82"/>
    <row r="199" ht="14.25" customHeight="1" s="82"/>
    <row r="200" ht="14.25" customHeight="1" s="82"/>
    <row r="201" ht="14.25" customHeight="1" s="82"/>
    <row r="202" ht="14.25" customHeight="1" s="82"/>
    <row r="203" ht="14.25" customHeight="1" s="82"/>
    <row r="204" ht="14.25" customHeight="1" s="82"/>
    <row r="205" ht="14.25" customHeight="1" s="82"/>
    <row r="206" ht="14.25" customHeight="1" s="82"/>
    <row r="207" ht="14.25" customHeight="1" s="82"/>
    <row r="208" ht="14.25" customHeight="1" s="82"/>
    <row r="209" ht="14.25" customHeight="1" s="82"/>
    <row r="210" ht="14.25" customHeight="1" s="82"/>
    <row r="211" ht="14.25" customHeight="1" s="82"/>
    <row r="212" ht="14.25" customHeight="1" s="82"/>
    <row r="213" ht="14.25" customHeight="1" s="82"/>
    <row r="214" ht="14.25" customHeight="1" s="82"/>
    <row r="215" ht="14.25" customHeight="1" s="82"/>
    <row r="216" ht="14.25" customHeight="1" s="82"/>
    <row r="217" ht="14.25" customHeight="1" s="82"/>
    <row r="218" ht="14.25" customHeight="1" s="82"/>
    <row r="219" ht="14.25" customHeight="1" s="82"/>
    <row r="220" ht="14.25" customHeight="1" s="82"/>
    <row r="221" ht="14.25" customHeight="1" s="82"/>
    <row r="222" ht="14.25" customHeight="1" s="82"/>
    <row r="223" ht="14.25" customHeight="1" s="82"/>
    <row r="224" ht="14.25" customHeight="1" s="82"/>
    <row r="225" ht="14.25" customHeight="1" s="82"/>
    <row r="226" ht="14.25" customHeight="1" s="82"/>
    <row r="227" ht="14.25" customHeight="1" s="82"/>
    <row r="228" ht="14.25" customHeight="1" s="82"/>
    <row r="229" ht="14.25" customHeight="1" s="82"/>
    <row r="230" ht="14.25" customHeight="1" s="82"/>
    <row r="231" ht="14.25" customHeight="1" s="82"/>
    <row r="232" ht="14.25" customHeight="1" s="82"/>
    <row r="233" ht="14.25" customHeight="1" s="82"/>
    <row r="234" ht="14.25" customHeight="1" s="82"/>
    <row r="235" ht="14.25" customHeight="1" s="82"/>
    <row r="236" ht="14.25" customHeight="1" s="82"/>
    <row r="237" ht="14.25" customHeight="1" s="82"/>
    <row r="238" ht="14.25" customHeight="1" s="82"/>
    <row r="239" ht="14.25" customHeight="1" s="82"/>
    <row r="240" ht="14.25" customHeight="1" s="82"/>
    <row r="241" ht="14.25" customHeight="1" s="82"/>
    <row r="242" ht="14.25" customHeight="1" s="82"/>
    <row r="243" ht="14.25" customHeight="1" s="82"/>
    <row r="244" ht="14.25" customHeight="1" s="82"/>
    <row r="245" ht="14.25" customHeight="1" s="82"/>
    <row r="246" ht="14.25" customHeight="1" s="82"/>
    <row r="247" ht="14.25" customHeight="1" s="82"/>
    <row r="248" ht="14.25" customHeight="1" s="82"/>
    <row r="249" ht="14.25" customHeight="1" s="82"/>
    <row r="250" ht="14.25" customHeight="1" s="82"/>
    <row r="251" ht="14.25" customHeight="1" s="82"/>
    <row r="252" ht="14.25" customHeight="1" s="82"/>
    <row r="253" ht="14.25" customHeight="1" s="82"/>
    <row r="254" ht="14.25" customHeight="1" s="82"/>
    <row r="255" ht="14.25" customHeight="1" s="82"/>
    <row r="256" ht="14.25" customHeight="1" s="82"/>
    <row r="257" ht="14.25" customHeight="1" s="82"/>
    <row r="258" ht="14.25" customHeight="1" s="82"/>
    <row r="259" ht="14.25" customHeight="1" s="82"/>
    <row r="260" ht="14.25" customHeight="1" s="82"/>
    <row r="261" ht="14.25" customHeight="1" s="82"/>
    <row r="262" ht="14.25" customHeight="1" s="82"/>
    <row r="263" ht="14.25" customHeight="1" s="82"/>
    <row r="264" ht="14.25" customHeight="1" s="82"/>
    <row r="265" ht="14.25" customHeight="1" s="82"/>
    <row r="266" ht="14.25" customHeight="1" s="82"/>
    <row r="267" ht="14.25" customHeight="1" s="82"/>
    <row r="268" ht="14.25" customHeight="1" s="82"/>
    <row r="269" ht="14.25" customHeight="1" s="82"/>
    <row r="270" ht="14.25" customHeight="1" s="82"/>
    <row r="271" ht="14.25" customHeight="1" s="82"/>
    <row r="272" ht="14.25" customHeight="1" s="82"/>
    <row r="273" ht="14.25" customHeight="1" s="82"/>
    <row r="274" ht="14.25" customHeight="1" s="82"/>
    <row r="275" ht="14.25" customHeight="1" s="82"/>
    <row r="276" ht="14.25" customHeight="1" s="82"/>
    <row r="277" ht="14.25" customHeight="1" s="82"/>
    <row r="278" ht="14.25" customHeight="1" s="82"/>
    <row r="279" ht="14.25" customHeight="1" s="82"/>
    <row r="280" ht="14.25" customHeight="1" s="82"/>
    <row r="281" ht="14.25" customHeight="1" s="82"/>
    <row r="282" ht="14.25" customHeight="1" s="82"/>
    <row r="283" ht="14.25" customHeight="1" s="82"/>
    <row r="284" ht="14.25" customHeight="1" s="82"/>
    <row r="285" ht="14.25" customHeight="1" s="82"/>
    <row r="286" ht="14.25" customHeight="1" s="82"/>
    <row r="287" ht="14.25" customHeight="1" s="82"/>
    <row r="288" ht="14.25" customHeight="1" s="82"/>
    <row r="289" ht="14.25" customHeight="1" s="82"/>
    <row r="290" ht="14.25" customHeight="1" s="82"/>
    <row r="291" ht="14.25" customHeight="1" s="82"/>
    <row r="292" ht="14.25" customHeight="1" s="82"/>
    <row r="293" ht="14.25" customHeight="1" s="82"/>
    <row r="294" ht="14.25" customHeight="1" s="82"/>
    <row r="295" ht="14.25" customHeight="1" s="82"/>
    <row r="296" ht="14.25" customHeight="1" s="82"/>
    <row r="297" ht="14.25" customHeight="1" s="82"/>
    <row r="298" ht="14.25" customHeight="1" s="82"/>
    <row r="299" ht="14.25" customHeight="1" s="82"/>
    <row r="300" ht="14.25" customHeight="1" s="82"/>
    <row r="301" ht="14.25" customHeight="1" s="82"/>
    <row r="302" ht="14.25" customHeight="1" s="82"/>
    <row r="303" ht="14.25" customHeight="1" s="82"/>
    <row r="304" ht="14.25" customHeight="1" s="82"/>
    <row r="305" ht="14.25" customHeight="1" s="82"/>
    <row r="306" ht="14.25" customHeight="1" s="82"/>
    <row r="307" ht="14.25" customHeight="1" s="82"/>
    <row r="308" ht="14.25" customHeight="1" s="82"/>
    <row r="309" ht="14.25" customHeight="1" s="82"/>
    <row r="310" ht="14.25" customHeight="1" s="82"/>
    <row r="311" ht="14.25" customHeight="1" s="82"/>
    <row r="312" ht="14.25" customHeight="1" s="82"/>
    <row r="313" ht="14.25" customHeight="1" s="82"/>
    <row r="314" ht="14.25" customHeight="1" s="82"/>
    <row r="315" ht="14.25" customHeight="1" s="82"/>
    <row r="316" ht="14.25" customHeight="1" s="82"/>
    <row r="317" ht="14.25" customHeight="1" s="82"/>
    <row r="318" ht="14.25" customHeight="1" s="82"/>
    <row r="319" ht="14.25" customHeight="1" s="82"/>
    <row r="320" ht="14.25" customHeight="1" s="82"/>
    <row r="321" ht="14.25" customHeight="1" s="82"/>
    <row r="322" ht="14.25" customHeight="1" s="82"/>
    <row r="323" ht="14.25" customHeight="1" s="82"/>
    <row r="324" ht="14.25" customHeight="1" s="82"/>
    <row r="325" ht="14.25" customHeight="1" s="82"/>
    <row r="326" ht="14.25" customHeight="1" s="82"/>
    <row r="327" ht="14.25" customHeight="1" s="82"/>
    <row r="328" ht="14.25" customHeight="1" s="82"/>
    <row r="329" ht="14.25" customHeight="1" s="82"/>
    <row r="330" ht="14.25" customHeight="1" s="82"/>
    <row r="331" ht="14.25" customHeight="1" s="82"/>
    <row r="332" ht="14.25" customHeight="1" s="82"/>
    <row r="333" ht="14.25" customHeight="1" s="82"/>
    <row r="334" ht="14.25" customHeight="1" s="82"/>
    <row r="335" ht="14.25" customHeight="1" s="82"/>
    <row r="336" ht="14.25" customHeight="1" s="82"/>
    <row r="337" ht="14.25" customHeight="1" s="82"/>
    <row r="338" ht="14.25" customHeight="1" s="82"/>
    <row r="339" ht="14.25" customHeight="1" s="82"/>
    <row r="340" ht="14.25" customHeight="1" s="82"/>
    <row r="341" ht="14.25" customHeight="1" s="82"/>
    <row r="342" ht="14.25" customHeight="1" s="82"/>
    <row r="343" ht="14.25" customHeight="1" s="82"/>
    <row r="344" ht="14.25" customHeight="1" s="82"/>
    <row r="345" ht="14.25" customHeight="1" s="82"/>
    <row r="346" ht="14.25" customHeight="1" s="82"/>
    <row r="347" ht="14.25" customHeight="1" s="82"/>
    <row r="348" ht="14.25" customHeight="1" s="82"/>
    <row r="349" ht="14.25" customHeight="1" s="82"/>
    <row r="350" ht="14.25" customHeight="1" s="82"/>
    <row r="351" ht="14.25" customHeight="1" s="82"/>
    <row r="352" ht="14.25" customHeight="1" s="82"/>
    <row r="353" ht="14.25" customHeight="1" s="82"/>
    <row r="354" ht="14.25" customHeight="1" s="82"/>
    <row r="355" ht="14.25" customHeight="1" s="82"/>
    <row r="356" ht="14.25" customHeight="1" s="82"/>
    <row r="357" ht="14.25" customHeight="1" s="82"/>
    <row r="358" ht="14.25" customHeight="1" s="82"/>
    <row r="359" ht="14.25" customHeight="1" s="82"/>
    <row r="360" ht="14.25" customHeight="1" s="82"/>
    <row r="361" ht="14.25" customHeight="1" s="82"/>
    <row r="362" ht="14.25" customHeight="1" s="82"/>
    <row r="363" ht="14.25" customHeight="1" s="82"/>
    <row r="364" ht="14.25" customHeight="1" s="82"/>
    <row r="365" ht="14.25" customHeight="1" s="82"/>
    <row r="366" ht="14.25" customHeight="1" s="82"/>
    <row r="367" ht="14.25" customHeight="1" s="82"/>
    <row r="368" ht="14.25" customHeight="1" s="82"/>
    <row r="369" ht="14.25" customHeight="1" s="82"/>
    <row r="370" ht="14.25" customHeight="1" s="82"/>
    <row r="371" ht="14.25" customHeight="1" s="82"/>
    <row r="372" ht="14.25" customHeight="1" s="82"/>
    <row r="373" ht="14.25" customHeight="1" s="82"/>
    <row r="374" ht="14.25" customHeight="1" s="82"/>
    <row r="375" ht="14.25" customHeight="1" s="82"/>
    <row r="376" ht="14.25" customHeight="1" s="82"/>
    <row r="377" ht="14.25" customHeight="1" s="82"/>
    <row r="378" ht="14.25" customHeight="1" s="82"/>
    <row r="379" ht="14.25" customHeight="1" s="82"/>
    <row r="380" ht="14.25" customHeight="1" s="82"/>
    <row r="381" ht="14.25" customHeight="1" s="82"/>
    <row r="382" ht="14.25" customHeight="1" s="82"/>
    <row r="383" ht="14.25" customHeight="1" s="82"/>
    <row r="384" ht="14.25" customHeight="1" s="82"/>
    <row r="385" ht="14.25" customHeight="1" s="82"/>
    <row r="386" ht="14.25" customHeight="1" s="82"/>
    <row r="387" ht="14.25" customHeight="1" s="82"/>
    <row r="388" ht="14.25" customHeight="1" s="82"/>
    <row r="389" ht="14.25" customHeight="1" s="82"/>
    <row r="390" ht="14.25" customHeight="1" s="82"/>
    <row r="391" ht="14.25" customHeight="1" s="82"/>
    <row r="392" ht="14.25" customHeight="1" s="82"/>
    <row r="393" ht="14.25" customHeight="1" s="82"/>
    <row r="394" ht="14.25" customHeight="1" s="82"/>
    <row r="395" ht="14.25" customHeight="1" s="82"/>
    <row r="396" ht="14.25" customHeight="1" s="82"/>
    <row r="397" ht="14.25" customHeight="1" s="82"/>
    <row r="398" ht="14.25" customHeight="1" s="82"/>
    <row r="399" ht="14.25" customHeight="1" s="82"/>
    <row r="400" ht="14.25" customHeight="1" s="82"/>
    <row r="401" ht="14.25" customHeight="1" s="82"/>
    <row r="402" ht="14.25" customHeight="1" s="82"/>
    <row r="403" ht="14.25" customHeight="1" s="82"/>
    <row r="404" ht="14.25" customHeight="1" s="82"/>
    <row r="405" ht="14.25" customHeight="1" s="82"/>
    <row r="406" ht="14.25" customHeight="1" s="82"/>
    <row r="407" ht="14.25" customHeight="1" s="82"/>
    <row r="408" ht="14.25" customHeight="1" s="82"/>
    <row r="409" ht="14.25" customHeight="1" s="82"/>
    <row r="410" ht="14.25" customHeight="1" s="82"/>
    <row r="411" ht="14.25" customHeight="1" s="82"/>
    <row r="412" ht="14.25" customHeight="1" s="82"/>
    <row r="413" ht="14.25" customHeight="1" s="82"/>
    <row r="414" ht="14.25" customHeight="1" s="82"/>
    <row r="415" ht="14.25" customHeight="1" s="82"/>
    <row r="416" ht="14.25" customHeight="1" s="82"/>
    <row r="417" ht="14.25" customHeight="1" s="82"/>
    <row r="418" ht="14.25" customHeight="1" s="82"/>
    <row r="419" ht="14.25" customHeight="1" s="82"/>
    <row r="420" ht="14.25" customHeight="1" s="82"/>
    <row r="421" ht="14.25" customHeight="1" s="82"/>
    <row r="422" ht="14.25" customHeight="1" s="82"/>
    <row r="423" ht="14.25" customHeight="1" s="82"/>
    <row r="424" ht="14.25" customHeight="1" s="82"/>
    <row r="425" ht="14.25" customHeight="1" s="82"/>
    <row r="426" ht="14.25" customHeight="1" s="82"/>
    <row r="427" ht="14.25" customHeight="1" s="82"/>
    <row r="428" ht="14.25" customHeight="1" s="82"/>
    <row r="429" ht="14.25" customHeight="1" s="82"/>
    <row r="430" ht="14.25" customHeight="1" s="82"/>
    <row r="431" ht="14.25" customHeight="1" s="82"/>
    <row r="432" ht="14.25" customHeight="1" s="82"/>
    <row r="433" ht="14.25" customHeight="1" s="82"/>
    <row r="434" ht="14.25" customHeight="1" s="82"/>
    <row r="435" ht="14.25" customHeight="1" s="82"/>
    <row r="436" ht="14.25" customHeight="1" s="82"/>
    <row r="437" ht="14.25" customHeight="1" s="82"/>
    <row r="438" ht="14.25" customHeight="1" s="82"/>
    <row r="439" ht="14.25" customHeight="1" s="82"/>
    <row r="440" ht="14.25" customHeight="1" s="82"/>
    <row r="441" ht="14.25" customHeight="1" s="82"/>
    <row r="442" ht="14.25" customHeight="1" s="82"/>
    <row r="443" ht="14.25" customHeight="1" s="82"/>
    <row r="444" ht="14.25" customHeight="1" s="82"/>
    <row r="445" ht="14.25" customHeight="1" s="82"/>
    <row r="446" ht="14.25" customHeight="1" s="82"/>
    <row r="447" ht="14.25" customHeight="1" s="82"/>
    <row r="448" ht="14.25" customHeight="1" s="82"/>
    <row r="449" ht="14.25" customHeight="1" s="82"/>
    <row r="450" ht="14.25" customHeight="1" s="82"/>
    <row r="451" ht="14.25" customHeight="1" s="82"/>
    <row r="452" ht="14.25" customHeight="1" s="82"/>
    <row r="453" ht="14.25" customHeight="1" s="82"/>
    <row r="454" ht="14.25" customHeight="1" s="82"/>
    <row r="455" ht="14.25" customHeight="1" s="82"/>
    <row r="456" ht="14.25" customHeight="1" s="82"/>
    <row r="457" ht="14.25" customHeight="1" s="82"/>
    <row r="458" ht="14.25" customHeight="1" s="82"/>
    <row r="459" ht="14.25" customHeight="1" s="82"/>
    <row r="460" ht="14.25" customHeight="1" s="82"/>
    <row r="461" ht="14.25" customHeight="1" s="82"/>
    <row r="462" ht="14.25" customHeight="1" s="82"/>
    <row r="463" ht="14.25" customHeight="1" s="82"/>
    <row r="464" ht="14.25" customHeight="1" s="82"/>
    <row r="465" ht="14.25" customHeight="1" s="82"/>
    <row r="466" ht="14.25" customHeight="1" s="82"/>
    <row r="467" ht="14.25" customHeight="1" s="82"/>
    <row r="468" ht="14.25" customHeight="1" s="82"/>
    <row r="469" ht="14.25" customHeight="1" s="82"/>
    <row r="470" ht="14.25" customHeight="1" s="82"/>
    <row r="471" ht="14.25" customHeight="1" s="82"/>
    <row r="472" ht="14.25" customHeight="1" s="82"/>
    <row r="473" ht="14.25" customHeight="1" s="82"/>
    <row r="474" ht="14.25" customHeight="1" s="82"/>
    <row r="475" ht="14.25" customHeight="1" s="82"/>
    <row r="476" ht="14.25" customHeight="1" s="82"/>
    <row r="477" ht="14.25" customHeight="1" s="82"/>
    <row r="478" ht="14.25" customHeight="1" s="82"/>
    <row r="479" ht="14.25" customHeight="1" s="82"/>
    <row r="480" ht="14.25" customHeight="1" s="82"/>
    <row r="481" ht="14.25" customHeight="1" s="82"/>
    <row r="482" ht="14.25" customHeight="1" s="82"/>
    <row r="483" ht="14.25" customHeight="1" s="82"/>
    <row r="484" ht="14.25" customHeight="1" s="82"/>
    <row r="485" ht="14.25" customHeight="1" s="82"/>
    <row r="486" ht="14.25" customHeight="1" s="82"/>
    <row r="487" ht="14.25" customHeight="1" s="82"/>
    <row r="488" ht="14.25" customHeight="1" s="82"/>
    <row r="489" ht="14.25" customHeight="1" s="82"/>
    <row r="490" ht="14.25" customHeight="1" s="82"/>
    <row r="491" ht="14.25" customHeight="1" s="82"/>
    <row r="492" ht="14.25" customHeight="1" s="82"/>
    <row r="493" ht="14.25" customHeight="1" s="82"/>
    <row r="494" ht="14.25" customHeight="1" s="82"/>
    <row r="495" ht="14.25" customHeight="1" s="82"/>
    <row r="496" ht="14.25" customHeight="1" s="82"/>
    <row r="497" ht="14.25" customHeight="1" s="82"/>
    <row r="498" ht="14.25" customHeight="1" s="82"/>
    <row r="499" ht="14.25" customHeight="1" s="82"/>
    <row r="500" ht="14.25" customHeight="1" s="82"/>
    <row r="501" ht="14.25" customHeight="1" s="82"/>
    <row r="502" ht="14.25" customHeight="1" s="82"/>
    <row r="503" ht="14.25" customHeight="1" s="82"/>
    <row r="504" ht="14.25" customHeight="1" s="82"/>
    <row r="505" ht="14.25" customHeight="1" s="82"/>
    <row r="506" ht="14.25" customHeight="1" s="82"/>
    <row r="507" ht="14.25" customHeight="1" s="82"/>
    <row r="508" ht="14.25" customHeight="1" s="82"/>
    <row r="509" ht="14.25" customHeight="1" s="82"/>
    <row r="510" ht="14.25" customHeight="1" s="82"/>
    <row r="511" ht="14.25" customHeight="1" s="82"/>
    <row r="512" ht="14.25" customHeight="1" s="82"/>
    <row r="513" ht="14.25" customHeight="1" s="82"/>
    <row r="514" ht="14.25" customHeight="1" s="82"/>
    <row r="515" ht="14.25" customHeight="1" s="82"/>
    <row r="516" ht="14.25" customHeight="1" s="82"/>
    <row r="517" ht="14.25" customHeight="1" s="82"/>
    <row r="518" ht="14.25" customHeight="1" s="82"/>
    <row r="519" ht="14.25" customHeight="1" s="82"/>
    <row r="520" ht="14.25" customHeight="1" s="82"/>
    <row r="521" ht="14.25" customHeight="1" s="82"/>
    <row r="522" ht="14.25" customHeight="1" s="82"/>
    <row r="523" ht="14.25" customHeight="1" s="82"/>
    <row r="524" ht="14.25" customHeight="1" s="82"/>
    <row r="525" ht="14.25" customHeight="1" s="82"/>
    <row r="526" ht="14.25" customHeight="1" s="82"/>
    <row r="527" ht="14.25" customHeight="1" s="82"/>
    <row r="528" ht="14.25" customHeight="1" s="82"/>
    <row r="529" ht="14.25" customHeight="1" s="82"/>
    <row r="530" ht="14.25" customHeight="1" s="82"/>
    <row r="531" ht="14.25" customHeight="1" s="82"/>
    <row r="532" ht="14.25" customHeight="1" s="82"/>
    <row r="533" ht="14.25" customHeight="1" s="82"/>
    <row r="534" ht="14.25" customHeight="1" s="82"/>
    <row r="535" ht="14.25" customHeight="1" s="82"/>
    <row r="536" ht="14.25" customHeight="1" s="82"/>
    <row r="537" ht="14.25" customHeight="1" s="82"/>
    <row r="538" ht="14.25" customHeight="1" s="82"/>
    <row r="539" ht="14.25" customHeight="1" s="82"/>
    <row r="540" ht="14.25" customHeight="1" s="82"/>
    <row r="541" ht="14.25" customHeight="1" s="82"/>
    <row r="542" ht="14.25" customHeight="1" s="82"/>
    <row r="543" ht="14.25" customHeight="1" s="82"/>
    <row r="544" ht="14.25" customHeight="1" s="82"/>
    <row r="545" ht="14.25" customHeight="1" s="82"/>
    <row r="546" ht="14.25" customHeight="1" s="82"/>
    <row r="547" ht="14.25" customHeight="1" s="82"/>
    <row r="548" ht="14.25" customHeight="1" s="82"/>
    <row r="549" ht="14.25" customHeight="1" s="82"/>
    <row r="550" ht="14.25" customHeight="1" s="82"/>
    <row r="551" ht="14.25" customHeight="1" s="82"/>
    <row r="552" ht="14.25" customHeight="1" s="82"/>
    <row r="553" ht="14.25" customHeight="1" s="82"/>
    <row r="554" ht="14.25" customHeight="1" s="82"/>
    <row r="555" ht="14.25" customHeight="1" s="82"/>
    <row r="556" ht="14.25" customHeight="1" s="82"/>
    <row r="557" ht="14.25" customHeight="1" s="82"/>
    <row r="558" ht="14.25" customHeight="1" s="82"/>
    <row r="559" ht="14.25" customHeight="1" s="82"/>
    <row r="560" ht="14.25" customHeight="1" s="82"/>
    <row r="561" ht="14.25" customHeight="1" s="82"/>
    <row r="562" ht="14.25" customHeight="1" s="82"/>
    <row r="563" ht="14.25" customHeight="1" s="82"/>
    <row r="564" ht="14.25" customHeight="1" s="82"/>
    <row r="565" ht="14.25" customHeight="1" s="82"/>
    <row r="566" ht="14.25" customHeight="1" s="82"/>
    <row r="567" ht="14.25" customHeight="1" s="82"/>
    <row r="568" ht="14.25" customHeight="1" s="82"/>
    <row r="569" ht="14.25" customHeight="1" s="82"/>
    <row r="570" ht="14.25" customHeight="1" s="82"/>
    <row r="571" ht="14.25" customHeight="1" s="82"/>
    <row r="572" ht="14.25" customHeight="1" s="82"/>
    <row r="573" ht="14.25" customHeight="1" s="82"/>
    <row r="574" ht="14.25" customHeight="1" s="82"/>
    <row r="575" ht="14.25" customHeight="1" s="82"/>
    <row r="576" ht="14.25" customHeight="1" s="82"/>
    <row r="577" ht="14.25" customHeight="1" s="82"/>
    <row r="578" ht="14.25" customHeight="1" s="82"/>
    <row r="579" ht="14.25" customHeight="1" s="82"/>
    <row r="580" ht="14.25" customHeight="1" s="82"/>
    <row r="581" ht="14.25" customHeight="1" s="82"/>
    <row r="582" ht="14.25" customHeight="1" s="82"/>
    <row r="583" ht="14.25" customHeight="1" s="82"/>
    <row r="584" ht="14.25" customHeight="1" s="82"/>
    <row r="585" ht="14.25" customHeight="1" s="82"/>
    <row r="586" ht="14.25" customHeight="1" s="82"/>
    <row r="587" ht="14.25" customHeight="1" s="82"/>
    <row r="588" ht="14.25" customHeight="1" s="82"/>
    <row r="589" ht="14.25" customHeight="1" s="82"/>
    <row r="590" ht="14.25" customHeight="1" s="82"/>
    <row r="591" ht="14.25" customHeight="1" s="82"/>
    <row r="592" ht="14.25" customHeight="1" s="82"/>
    <row r="593" ht="14.25" customHeight="1" s="82"/>
    <row r="594" ht="14.25" customHeight="1" s="82"/>
    <row r="595" ht="14.25" customHeight="1" s="82"/>
    <row r="596" ht="14.25" customHeight="1" s="82"/>
    <row r="597" ht="14.25" customHeight="1" s="82"/>
    <row r="598" ht="14.25" customHeight="1" s="82"/>
    <row r="599" ht="14.25" customHeight="1" s="82"/>
    <row r="600" ht="14.25" customHeight="1" s="82"/>
    <row r="601" ht="14.25" customHeight="1" s="82"/>
    <row r="602" ht="14.25" customHeight="1" s="82"/>
    <row r="603" ht="14.25" customHeight="1" s="82"/>
    <row r="604" ht="14.25" customHeight="1" s="82"/>
    <row r="605" ht="14.25" customHeight="1" s="82"/>
    <row r="606" ht="14.25" customHeight="1" s="82"/>
    <row r="607" ht="14.25" customHeight="1" s="82"/>
    <row r="608" ht="14.25" customHeight="1" s="82"/>
    <row r="609" ht="14.25" customHeight="1" s="82"/>
    <row r="610" ht="14.25" customHeight="1" s="82"/>
    <row r="611" ht="14.25" customHeight="1" s="82"/>
    <row r="612" ht="14.25" customHeight="1" s="82"/>
    <row r="613" ht="14.25" customHeight="1" s="82"/>
    <row r="614" ht="14.25" customHeight="1" s="82"/>
    <row r="615" ht="14.25" customHeight="1" s="82"/>
    <row r="616" ht="14.25" customHeight="1" s="82"/>
    <row r="617" ht="14.25" customHeight="1" s="82"/>
    <row r="618" ht="14.25" customHeight="1" s="82"/>
    <row r="619" ht="14.25" customHeight="1" s="82"/>
    <row r="620" ht="14.25" customHeight="1" s="82"/>
    <row r="621" ht="14.25" customHeight="1" s="82"/>
    <row r="622" ht="14.25" customHeight="1" s="82"/>
    <row r="623" ht="14.25" customHeight="1" s="82"/>
    <row r="624" ht="14.25" customHeight="1" s="82"/>
    <row r="625" ht="14.25" customHeight="1" s="82"/>
    <row r="626" ht="14.25" customHeight="1" s="82"/>
    <row r="627" ht="14.25" customHeight="1" s="82"/>
    <row r="628" ht="14.25" customHeight="1" s="82"/>
    <row r="629" ht="14.25" customHeight="1" s="82"/>
    <row r="630" ht="14.25" customHeight="1" s="82"/>
    <row r="631" ht="14.25" customHeight="1" s="82"/>
    <row r="632" ht="14.25" customHeight="1" s="82"/>
    <row r="633" ht="14.25" customHeight="1" s="82"/>
    <row r="634" ht="14.25" customHeight="1" s="82"/>
    <row r="635" ht="14.25" customHeight="1" s="82"/>
    <row r="636" ht="14.25" customHeight="1" s="82"/>
    <row r="637" ht="14.25" customHeight="1" s="82"/>
    <row r="638" ht="14.25" customHeight="1" s="82"/>
    <row r="639" ht="14.25" customHeight="1" s="82"/>
    <row r="640" ht="14.25" customHeight="1" s="82"/>
    <row r="641" ht="14.25" customHeight="1" s="82"/>
    <row r="642" ht="14.25" customHeight="1" s="82"/>
    <row r="643" ht="14.25" customHeight="1" s="82"/>
    <row r="644" ht="14.25" customHeight="1" s="82"/>
    <row r="645" ht="14.25" customHeight="1" s="82"/>
    <row r="646" ht="14.25" customHeight="1" s="82"/>
    <row r="647" ht="14.25" customHeight="1" s="82"/>
    <row r="648" ht="14.25" customHeight="1" s="82"/>
    <row r="649" ht="14.25" customHeight="1" s="82"/>
    <row r="650" ht="14.25" customHeight="1" s="82"/>
    <row r="651" ht="14.25" customHeight="1" s="82"/>
    <row r="652" ht="14.25" customHeight="1" s="82"/>
    <row r="653" ht="14.25" customHeight="1" s="82"/>
    <row r="654" ht="14.25" customHeight="1" s="82"/>
    <row r="655" ht="14.25" customHeight="1" s="82"/>
    <row r="656" ht="14.25" customHeight="1" s="82"/>
    <row r="657" ht="14.25" customHeight="1" s="82"/>
    <row r="658" ht="14.25" customHeight="1" s="82"/>
    <row r="659" ht="14.25" customHeight="1" s="82"/>
    <row r="660" ht="14.25" customHeight="1" s="82"/>
    <row r="661" ht="14.25" customHeight="1" s="82"/>
    <row r="662" ht="14.25" customHeight="1" s="82"/>
    <row r="663" ht="14.25" customHeight="1" s="82"/>
    <row r="664" ht="14.25" customHeight="1" s="82"/>
    <row r="665" ht="14.25" customHeight="1" s="82"/>
    <row r="666" ht="14.25" customHeight="1" s="82"/>
    <row r="667" ht="14.25" customHeight="1" s="82"/>
    <row r="668" ht="14.25" customHeight="1" s="82"/>
    <row r="669" ht="14.25" customHeight="1" s="82"/>
    <row r="670" ht="14.25" customHeight="1" s="82"/>
    <row r="671" ht="14.25" customHeight="1" s="82"/>
    <row r="672" ht="14.25" customHeight="1" s="82"/>
    <row r="673" ht="14.25" customHeight="1" s="82"/>
    <row r="674" ht="14.25" customHeight="1" s="82"/>
    <row r="675" ht="14.25" customHeight="1" s="82"/>
    <row r="676" ht="14.25" customHeight="1" s="82"/>
    <row r="677" ht="14.25" customHeight="1" s="82"/>
    <row r="678" ht="14.25" customHeight="1" s="82"/>
    <row r="679" ht="14.25" customHeight="1" s="82"/>
    <row r="680" ht="14.25" customHeight="1" s="82"/>
    <row r="681" ht="14.25" customHeight="1" s="82"/>
    <row r="682" ht="14.25" customHeight="1" s="82"/>
    <row r="683" ht="14.25" customHeight="1" s="82"/>
    <row r="684" ht="14.25" customHeight="1" s="82"/>
    <row r="685" ht="14.25" customHeight="1" s="82"/>
    <row r="686" ht="14.25" customHeight="1" s="82"/>
    <row r="687" ht="14.25" customHeight="1" s="82"/>
    <row r="688" ht="14.25" customHeight="1" s="82"/>
    <row r="689" ht="14.25" customHeight="1" s="82"/>
    <row r="690" ht="14.25" customHeight="1" s="82"/>
    <row r="691" ht="14.25" customHeight="1" s="82"/>
    <row r="692" ht="14.25" customHeight="1" s="82"/>
    <row r="693" ht="14.25" customHeight="1" s="82"/>
    <row r="694" ht="14.25" customHeight="1" s="82"/>
    <row r="695" ht="14.25" customHeight="1" s="82"/>
    <row r="696" ht="14.25" customHeight="1" s="82"/>
    <row r="697" ht="14.25" customHeight="1" s="82"/>
    <row r="698" ht="14.25" customHeight="1" s="82"/>
    <row r="699" ht="14.25" customHeight="1" s="82"/>
    <row r="700" ht="14.25" customHeight="1" s="82"/>
    <row r="701" ht="14.25" customHeight="1" s="82"/>
    <row r="702" ht="14.25" customHeight="1" s="82"/>
    <row r="703" ht="14.25" customHeight="1" s="82"/>
    <row r="704" ht="14.25" customHeight="1" s="82"/>
    <row r="705" ht="14.25" customHeight="1" s="82"/>
    <row r="706" ht="14.25" customHeight="1" s="82"/>
    <row r="707" ht="14.25" customHeight="1" s="82"/>
    <row r="708" ht="14.25" customHeight="1" s="82"/>
    <row r="709" ht="14.25" customHeight="1" s="82"/>
    <row r="710" ht="14.25" customHeight="1" s="82"/>
    <row r="711" ht="14.25" customHeight="1" s="82"/>
    <row r="712" ht="14.25" customHeight="1" s="82"/>
    <row r="713" ht="14.25" customHeight="1" s="82"/>
    <row r="714" ht="14.25" customHeight="1" s="82"/>
    <row r="715" ht="14.25" customHeight="1" s="82"/>
    <row r="716" ht="14.25" customHeight="1" s="82"/>
    <row r="717" ht="14.25" customHeight="1" s="82"/>
    <row r="718" ht="14.25" customHeight="1" s="82"/>
    <row r="719" ht="14.25" customHeight="1" s="82"/>
    <row r="720" ht="14.25" customHeight="1" s="82"/>
    <row r="721" ht="14.25" customHeight="1" s="82"/>
    <row r="722" ht="14.25" customHeight="1" s="82"/>
    <row r="723" ht="14.25" customHeight="1" s="82"/>
    <row r="724" ht="14.25" customHeight="1" s="82"/>
    <row r="725" ht="14.25" customHeight="1" s="82"/>
    <row r="726" ht="14.25" customHeight="1" s="82"/>
    <row r="727" ht="14.25" customHeight="1" s="82"/>
    <row r="728" ht="14.25" customHeight="1" s="82"/>
    <row r="729" ht="14.25" customHeight="1" s="82"/>
    <row r="730" ht="14.25" customHeight="1" s="82"/>
    <row r="731" ht="14.25" customHeight="1" s="82"/>
    <row r="732" ht="14.25" customHeight="1" s="82"/>
    <row r="733" ht="14.25" customHeight="1" s="82"/>
    <row r="734" ht="14.25" customHeight="1" s="82"/>
    <row r="735" ht="14.25" customHeight="1" s="82"/>
    <row r="736" ht="14.25" customHeight="1" s="82"/>
    <row r="737" ht="14.25" customHeight="1" s="82"/>
    <row r="738" ht="14.25" customHeight="1" s="82"/>
    <row r="739" ht="14.25" customHeight="1" s="82"/>
    <row r="740" ht="14.25" customHeight="1" s="82"/>
    <row r="741" ht="14.25" customHeight="1" s="82"/>
    <row r="742" ht="14.25" customHeight="1" s="82"/>
    <row r="743" ht="14.25" customHeight="1" s="82"/>
    <row r="744" ht="14.25" customHeight="1" s="82"/>
    <row r="745" ht="14.25" customHeight="1" s="82"/>
    <row r="746" ht="14.25" customHeight="1" s="82"/>
    <row r="747" ht="14.25" customHeight="1" s="82"/>
    <row r="748" ht="14.25" customHeight="1" s="82"/>
    <row r="749" ht="14.25" customHeight="1" s="82"/>
    <row r="750" ht="14.25" customHeight="1" s="82"/>
    <row r="751" ht="14.25" customHeight="1" s="82"/>
    <row r="752" ht="14.25" customHeight="1" s="82"/>
    <row r="753" ht="14.25" customHeight="1" s="82"/>
    <row r="754" ht="14.25" customHeight="1" s="82"/>
    <row r="755" ht="14.25" customHeight="1" s="82"/>
    <row r="756" ht="14.25" customHeight="1" s="82"/>
    <row r="757" ht="14.25" customHeight="1" s="82"/>
    <row r="758" ht="14.25" customHeight="1" s="82"/>
    <row r="759" ht="14.25" customHeight="1" s="82"/>
    <row r="760" ht="14.25" customHeight="1" s="82"/>
    <row r="761" ht="14.25" customHeight="1" s="82"/>
    <row r="762" ht="14.25" customHeight="1" s="82"/>
    <row r="763" ht="14.25" customHeight="1" s="82"/>
    <row r="764" ht="14.25" customHeight="1" s="82"/>
    <row r="765" ht="14.25" customHeight="1" s="82"/>
    <row r="766" ht="14.25" customHeight="1" s="82"/>
    <row r="767" ht="14.25" customHeight="1" s="82"/>
    <row r="768" ht="14.25" customHeight="1" s="82"/>
    <row r="769" ht="14.25" customHeight="1" s="82"/>
    <row r="770" ht="14.25" customHeight="1" s="82"/>
    <row r="771" ht="14.25" customHeight="1" s="82"/>
    <row r="772" ht="14.25" customHeight="1" s="82"/>
    <row r="773" ht="14.25" customHeight="1" s="82"/>
    <row r="774" ht="14.25" customHeight="1" s="82"/>
    <row r="775" ht="14.25" customHeight="1" s="82"/>
    <row r="776" ht="14.25" customHeight="1" s="82"/>
    <row r="777" ht="14.25" customHeight="1" s="82"/>
    <row r="778" ht="14.25" customHeight="1" s="82"/>
    <row r="779" ht="14.25" customHeight="1" s="82"/>
    <row r="780" ht="14.25" customHeight="1" s="82"/>
    <row r="781" ht="14.25" customHeight="1" s="82"/>
    <row r="782" ht="14.25" customHeight="1" s="82"/>
    <row r="783" ht="14.25" customHeight="1" s="82"/>
    <row r="784" ht="14.25" customHeight="1" s="82"/>
    <row r="785" ht="14.25" customHeight="1" s="82"/>
    <row r="786" ht="14.25" customHeight="1" s="82"/>
    <row r="787" ht="14.25" customHeight="1" s="82"/>
    <row r="788" ht="14.25" customHeight="1" s="82"/>
    <row r="789" ht="14.25" customHeight="1" s="82"/>
    <row r="790" ht="14.25" customHeight="1" s="82"/>
    <row r="791" ht="14.25" customHeight="1" s="82"/>
    <row r="792" ht="14.25" customHeight="1" s="82"/>
    <row r="793" ht="14.25" customHeight="1" s="82"/>
    <row r="794" ht="14.25" customHeight="1" s="82"/>
    <row r="795" ht="14.25" customHeight="1" s="82"/>
    <row r="796" ht="14.25" customHeight="1" s="82"/>
    <row r="797" ht="14.25" customHeight="1" s="82"/>
    <row r="798" ht="14.25" customHeight="1" s="82"/>
    <row r="799" ht="14.25" customHeight="1" s="82"/>
    <row r="800" ht="14.25" customHeight="1" s="82"/>
    <row r="801" ht="14.25" customHeight="1" s="82"/>
    <row r="802" ht="14.25" customHeight="1" s="82"/>
    <row r="803" ht="14.25" customHeight="1" s="82"/>
    <row r="804" ht="14.25" customHeight="1" s="82"/>
    <row r="805" ht="14.25" customHeight="1" s="82"/>
    <row r="806" ht="14.25" customHeight="1" s="82"/>
    <row r="807" ht="14.25" customHeight="1" s="82"/>
    <row r="808" ht="14.25" customHeight="1" s="82"/>
    <row r="809" ht="14.25" customHeight="1" s="82"/>
    <row r="810" ht="14.25" customHeight="1" s="82"/>
    <row r="811" ht="14.25" customHeight="1" s="82"/>
    <row r="812" ht="14.25" customHeight="1" s="82"/>
    <row r="813" ht="14.25" customHeight="1" s="82"/>
    <row r="814" ht="14.25" customHeight="1" s="82"/>
    <row r="815" ht="14.25" customHeight="1" s="82"/>
    <row r="816" ht="14.25" customHeight="1" s="82"/>
    <row r="817" ht="14.25" customHeight="1" s="82"/>
    <row r="818" ht="14.25" customHeight="1" s="82"/>
    <row r="819" ht="14.25" customHeight="1" s="82"/>
    <row r="820" ht="14.25" customHeight="1" s="82"/>
    <row r="821" ht="14.25" customHeight="1" s="82"/>
    <row r="822" ht="14.25" customHeight="1" s="82"/>
    <row r="823" ht="14.25" customHeight="1" s="82"/>
    <row r="824" ht="14.25" customHeight="1" s="82"/>
    <row r="825" ht="14.25" customHeight="1" s="82"/>
    <row r="826" ht="14.25" customHeight="1" s="82"/>
    <row r="827" ht="14.25" customHeight="1" s="82"/>
    <row r="828" ht="14.25" customHeight="1" s="82"/>
    <row r="829" ht="14.25" customHeight="1" s="82"/>
    <row r="830" ht="14.25" customHeight="1" s="82"/>
    <row r="831" ht="14.25" customHeight="1" s="82"/>
    <row r="832" ht="14.25" customHeight="1" s="82"/>
    <row r="833" ht="14.25" customHeight="1" s="82"/>
    <row r="834" ht="14.25" customHeight="1" s="82"/>
    <row r="835" ht="14.25" customHeight="1" s="82"/>
    <row r="836" ht="14.25" customHeight="1" s="82"/>
    <row r="837" ht="14.25" customHeight="1" s="82"/>
    <row r="838" ht="14.25" customHeight="1" s="82"/>
    <row r="839" ht="14.25" customHeight="1" s="82"/>
    <row r="840" ht="14.25" customHeight="1" s="82"/>
    <row r="841" ht="14.25" customHeight="1" s="82"/>
    <row r="842" ht="14.25" customHeight="1" s="82"/>
    <row r="843" ht="14.25" customHeight="1" s="82"/>
    <row r="844" ht="14.25" customHeight="1" s="82"/>
    <row r="845" ht="14.25" customHeight="1" s="82"/>
    <row r="846" ht="14.25" customHeight="1" s="82"/>
    <row r="847" ht="14.25" customHeight="1" s="82"/>
    <row r="848" ht="14.25" customHeight="1" s="82"/>
    <row r="849" ht="14.25" customHeight="1" s="82"/>
    <row r="850" ht="14.25" customHeight="1" s="82"/>
    <row r="851" ht="14.25" customHeight="1" s="82"/>
    <row r="852" ht="14.25" customHeight="1" s="82"/>
    <row r="853" ht="14.25" customHeight="1" s="82"/>
    <row r="854" ht="14.25" customHeight="1" s="82"/>
    <row r="855" ht="14.25" customHeight="1" s="82"/>
    <row r="856" ht="14.25" customHeight="1" s="82"/>
    <row r="857" ht="14.25" customHeight="1" s="82"/>
    <row r="858" ht="14.25" customHeight="1" s="82"/>
    <row r="859" ht="14.25" customHeight="1" s="82"/>
    <row r="860" ht="14.25" customHeight="1" s="82"/>
    <row r="861" ht="14.25" customHeight="1" s="82"/>
    <row r="862" ht="14.25" customHeight="1" s="82"/>
    <row r="863" ht="14.25" customHeight="1" s="82"/>
    <row r="864" ht="14.25" customHeight="1" s="82"/>
    <row r="865" ht="14.25" customHeight="1" s="82"/>
    <row r="866" ht="14.25" customHeight="1" s="82"/>
    <row r="867" ht="14.25" customHeight="1" s="82"/>
    <row r="868" ht="14.25" customHeight="1" s="82"/>
    <row r="869" ht="14.25" customHeight="1" s="82"/>
    <row r="870" ht="14.25" customHeight="1" s="82"/>
    <row r="871" ht="14.25" customHeight="1" s="82"/>
    <row r="872" ht="14.25" customHeight="1" s="82"/>
    <row r="873" ht="14.25" customHeight="1" s="82"/>
    <row r="874" ht="14.25" customHeight="1" s="82"/>
    <row r="875" ht="14.25" customHeight="1" s="82"/>
    <row r="876" ht="14.25" customHeight="1" s="82"/>
    <row r="877" ht="14.25" customHeight="1" s="82"/>
    <row r="878" ht="14.25" customHeight="1" s="82"/>
    <row r="879" ht="14.25" customHeight="1" s="82"/>
    <row r="880" ht="14.25" customHeight="1" s="82"/>
    <row r="881" ht="14.25" customHeight="1" s="82"/>
    <row r="882" ht="14.25" customHeight="1" s="82"/>
    <row r="883" ht="14.25" customHeight="1" s="82"/>
    <row r="884" ht="14.25" customHeight="1" s="82"/>
    <row r="885" ht="14.25" customHeight="1" s="82"/>
    <row r="886" ht="14.25" customHeight="1" s="82"/>
    <row r="887" ht="14.25" customHeight="1" s="82"/>
    <row r="888" ht="14.25" customHeight="1" s="82"/>
    <row r="889" ht="14.25" customHeight="1" s="82"/>
    <row r="890" ht="14.25" customHeight="1" s="82"/>
    <row r="891" ht="14.25" customHeight="1" s="82"/>
    <row r="892" ht="14.25" customHeight="1" s="82"/>
    <row r="893" ht="14.25" customHeight="1" s="82"/>
    <row r="894" ht="14.25" customHeight="1" s="82"/>
    <row r="895" ht="14.25" customHeight="1" s="82"/>
    <row r="896" ht="14.25" customHeight="1" s="82"/>
    <row r="897" ht="14.25" customHeight="1" s="82"/>
    <row r="898" ht="14.25" customHeight="1" s="82"/>
    <row r="899" ht="14.25" customHeight="1" s="82"/>
    <row r="900" ht="14.25" customHeight="1" s="82"/>
    <row r="901" ht="14.25" customHeight="1" s="82"/>
    <row r="902" ht="14.25" customHeight="1" s="82"/>
    <row r="903" ht="14.25" customHeight="1" s="82"/>
    <row r="904" ht="14.25" customHeight="1" s="82"/>
    <row r="905" ht="14.25" customHeight="1" s="82"/>
    <row r="906" ht="14.25" customHeight="1" s="82"/>
    <row r="907" ht="14.25" customHeight="1" s="82"/>
    <row r="908" ht="14.25" customHeight="1" s="82"/>
    <row r="909" ht="14.25" customHeight="1" s="82"/>
    <row r="910" ht="14.25" customHeight="1" s="82"/>
    <row r="911" ht="14.25" customHeight="1" s="82"/>
    <row r="912" ht="14.25" customHeight="1" s="82"/>
    <row r="913" ht="14.25" customHeight="1" s="82"/>
    <row r="914" ht="14.25" customHeight="1" s="82"/>
    <row r="915" ht="14.25" customHeight="1" s="82"/>
    <row r="916" ht="14.25" customHeight="1" s="82"/>
    <row r="917" ht="14.25" customHeight="1" s="82"/>
    <row r="918" ht="14.25" customHeight="1" s="82"/>
    <row r="919" ht="14.25" customHeight="1" s="82"/>
    <row r="920" ht="14.25" customHeight="1" s="82"/>
    <row r="921" ht="14.25" customHeight="1" s="82"/>
    <row r="922" ht="14.25" customHeight="1" s="82"/>
    <row r="923" ht="14.25" customHeight="1" s="82"/>
    <row r="924" ht="14.25" customHeight="1" s="82"/>
    <row r="925" ht="14.25" customHeight="1" s="82"/>
    <row r="926" ht="14.25" customHeight="1" s="82"/>
    <row r="927" ht="14.25" customHeight="1" s="82"/>
    <row r="928" ht="14.25" customHeight="1" s="82"/>
    <row r="929" ht="14.25" customHeight="1" s="82"/>
    <row r="930" ht="14.25" customHeight="1" s="82"/>
    <row r="931" ht="14.25" customHeight="1" s="82"/>
    <row r="932" ht="14.25" customHeight="1" s="82"/>
    <row r="933" ht="14.25" customHeight="1" s="82"/>
    <row r="934" ht="14.25" customHeight="1" s="82"/>
    <row r="935" ht="14.25" customHeight="1" s="82"/>
    <row r="936" ht="14.25" customHeight="1" s="82"/>
    <row r="937" ht="14.25" customHeight="1" s="82"/>
    <row r="938" ht="14.25" customHeight="1" s="82"/>
    <row r="939" ht="14.25" customHeight="1" s="82"/>
    <row r="940" ht="14.25" customHeight="1" s="82"/>
    <row r="941" ht="14.25" customHeight="1" s="82"/>
    <row r="942" ht="14.25" customHeight="1" s="82"/>
    <row r="943" ht="14.25" customHeight="1" s="82"/>
    <row r="944" ht="14.25" customHeight="1" s="82"/>
    <row r="945" ht="14.25" customHeight="1" s="82"/>
    <row r="946" ht="14.25" customHeight="1" s="82"/>
    <row r="947" ht="14.25" customHeight="1" s="82"/>
    <row r="948" ht="14.25" customHeight="1" s="82"/>
    <row r="949" ht="14.25" customHeight="1" s="82"/>
    <row r="950" ht="14.25" customHeight="1" s="82"/>
    <row r="951" ht="14.25" customHeight="1" s="82"/>
    <row r="952" ht="14.25" customHeight="1" s="82"/>
    <row r="953" ht="14.25" customHeight="1" s="82"/>
    <row r="954" ht="14.25" customHeight="1" s="82"/>
    <row r="955" ht="14.25" customHeight="1" s="82"/>
    <row r="956" ht="14.25" customHeight="1" s="82"/>
    <row r="957" ht="14.25" customHeight="1" s="82"/>
    <row r="958" ht="14.25" customHeight="1" s="82"/>
    <row r="959" ht="14.25" customHeight="1" s="82"/>
    <row r="960" ht="14.25" customHeight="1" s="82"/>
    <row r="961" ht="14.25" customHeight="1" s="82"/>
    <row r="962" ht="14.25" customHeight="1" s="82"/>
    <row r="963" ht="14.25" customHeight="1" s="82"/>
    <row r="964" ht="14.25" customHeight="1" s="82"/>
    <row r="965" ht="14.25" customHeight="1" s="82"/>
    <row r="966" ht="14.25" customHeight="1" s="82"/>
    <row r="967" ht="14.25" customHeight="1" s="82"/>
    <row r="968" ht="14.25" customHeight="1" s="82"/>
    <row r="969" ht="14.25" customHeight="1" s="82"/>
    <row r="970" ht="14.25" customHeight="1" s="82"/>
    <row r="971" ht="14.25" customHeight="1" s="82"/>
    <row r="972" ht="14.25" customHeight="1" s="82"/>
    <row r="973" ht="14.25" customHeight="1" s="82"/>
    <row r="974" ht="14.25" customHeight="1" s="82"/>
    <row r="975" ht="14.25" customHeight="1" s="82"/>
    <row r="976" ht="14.25" customHeight="1" s="82"/>
    <row r="977" ht="14.25" customHeight="1" s="82"/>
    <row r="978" ht="14.25" customHeight="1" s="82"/>
    <row r="979" ht="14.25" customHeight="1" s="82"/>
    <row r="980" ht="14.25" customHeight="1" s="82"/>
    <row r="981" ht="14.25" customHeight="1" s="82"/>
    <row r="982" ht="14.25" customHeight="1" s="82"/>
    <row r="983" ht="14.25" customHeight="1" s="82"/>
    <row r="984" ht="14.25" customHeight="1" s="82"/>
    <row r="985" ht="14.25" customHeight="1" s="82"/>
    <row r="986" ht="14.25" customHeight="1" s="82"/>
    <row r="987" ht="14.25" customHeight="1" s="82"/>
    <row r="988" ht="14.25" customHeight="1" s="82"/>
    <row r="989" ht="14.25" customHeight="1" s="82"/>
    <row r="990" ht="14.25" customHeight="1" s="82"/>
    <row r="991" ht="14.25" customHeight="1" s="82"/>
    <row r="992" ht="14.25" customHeight="1" s="82"/>
    <row r="993" ht="14.25" customHeight="1" s="82"/>
    <row r="994" ht="14.25" customHeight="1" s="82"/>
    <row r="995" ht="14.25" customHeight="1" s="82"/>
    <row r="996" ht="14.25" customHeight="1" s="82"/>
    <row r="997" ht="14.25" customHeight="1" s="82"/>
    <row r="998" ht="14.25" customHeight="1" s="82"/>
    <row r="999" ht="14.25" customHeight="1" s="82"/>
    <row r="1000" ht="14.25" customHeight="1" s="82"/>
  </sheetData>
  <mergeCells count="14">
    <mergeCell ref="A13:G13"/>
    <mergeCell ref="A14:G14"/>
    <mergeCell ref="A4:H4"/>
    <mergeCell ref="A69:H69"/>
    <mergeCell ref="A9:G9"/>
    <mergeCell ref="A8:G8"/>
    <mergeCell ref="A6:G6"/>
    <mergeCell ref="A16:H16"/>
    <mergeCell ref="A2:H2"/>
    <mergeCell ref="A12:G12"/>
    <mergeCell ref="A7:G7"/>
    <mergeCell ref="A1:H1"/>
    <mergeCell ref="A11:G11"/>
    <mergeCell ref="A10:G1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Investment Tracker</dc:creator>
  <dcterms:created xmlns:dcterms="http://purl.org/dc/terms/" xmlns:xsi="http://www.w3.org/2001/XMLSchema-instance" xsi:type="dcterms:W3CDTF">2026-05-25T11:08:31Z</dcterms:created>
  <dcterms:modified xmlns:dcterms="http://purl.org/dc/terms/" xmlns:xsi="http://www.w3.org/2001/XMLSchema-instance" xsi:type="dcterms:W3CDTF">2026-05-25T13:35:47Z</dcterms:modified>
</cp:coreProperties>
</file>