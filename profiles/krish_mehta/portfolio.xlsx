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📋 How To Use" sheetId="1" state="visible" r:id="rId1"/>
    <sheet name="🎯 Dashboard" sheetId="2" state="visible" r:id="rId2"/>
    <sheet name="📥 Stock Data Input" sheetId="3" state="visible" r:id="rId3"/>
    <sheet name="📥 MF Data Input" sheetId="4" state="visible" r:id="rId4"/>
    <sheet name="📊 Stock Analysis" sheetId="5" state="visible" r:id="rId5"/>
    <sheet name="📊 MF Analysis" sheetId="6" state="visible" r:id="rId6"/>
    <sheet name="📈 Sector Allocation" sheetId="7" state="visible" r:id="rId7"/>
    <sheet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yyyy-mm-dd h:mm:ss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102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164" fontId="17" fillId="11" borderId="2" applyAlignment="1" pivotButton="0" quotePrefix="0" xfId="0">
      <alignment horizontal="center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11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164" fontId="17" fillId="10" borderId="2" applyAlignment="1" pivotButton="0" quotePrefix="0" xfId="0">
      <alignment horizontal="center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  <xf numFmtId="0" fontId="17" fillId="10" borderId="5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5" fontId="17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100" t="inlineStr">
        <is>
          <t>Nippon India LTG</t>
        </is>
      </c>
      <c r="B4" s="91" t="inlineStr">
        <is>
          <t>NSE</t>
        </is>
      </c>
      <c r="C4" s="91" t="inlineStr">
        <is>
          <t>Other</t>
        </is>
      </c>
      <c r="D4" s="90" t="n">
        <v>6</v>
      </c>
      <c r="E4" s="90" t="n">
        <v>25.75</v>
      </c>
      <c r="F4" s="101" t="n">
        <v>45823</v>
      </c>
      <c r="G4" s="90" t="n">
        <v>29.83</v>
      </c>
      <c r="J4" s="90">
        <f>D4*E4</f>
        <v/>
      </c>
      <c r="K4" s="90">
        <f>D4*G4</f>
        <v/>
      </c>
      <c r="L4" s="90">
        <f>K4-J4</f>
        <v/>
      </c>
      <c r="M4" s="90">
        <f>IF(J4=0,0,L4/J4)</f>
        <v/>
      </c>
      <c r="P4" s="90" t="n">
        <v>0</v>
      </c>
      <c r="Q4" s="91">
        <f>IF(ISBLANK(F4),"",IF(TODAY()-F4&gt;365,"LTCG","STCG"))</f>
        <v/>
      </c>
      <c r="R4" s="90">
        <f>L4+IF(ISNUMBER(P4),P4,0)</f>
        <v/>
      </c>
    </row>
    <row r="5" ht="16.5" customHeight="1" s="59">
      <c r="A5" s="100" t="inlineStr">
        <is>
          <t>VISL</t>
        </is>
      </c>
      <c r="B5" s="91" t="inlineStr">
        <is>
          <t>NSE</t>
        </is>
      </c>
      <c r="C5" s="91" t="inlineStr">
        <is>
          <t>Materials</t>
        </is>
      </c>
      <c r="D5" s="90" t="n">
        <v>11</v>
      </c>
      <c r="E5" s="90" t="n">
        <v>15.64</v>
      </c>
      <c r="F5" s="91" t="inlineStr"/>
      <c r="G5" s="90" t="n">
        <v>30.88</v>
      </c>
      <c r="J5" s="90">
        <f>D5*E5</f>
        <v/>
      </c>
      <c r="K5" s="90">
        <f>D5*G5</f>
        <v/>
      </c>
      <c r="L5" s="90">
        <f>K5-J5</f>
        <v/>
      </c>
      <c r="M5" s="90">
        <f>IF(J5=0,0,L5/J5)</f>
        <v/>
      </c>
      <c r="P5" s="90" t="n">
        <v>0</v>
      </c>
      <c r="Q5" s="91">
        <f>IF(ISBLANK(F5),"",IF(TODAY()-F5&gt;365,"LTCG","STCG"))</f>
        <v/>
      </c>
      <c r="R5" s="90">
        <f>L5+IF(ISNUMBER(P5),P5,0)</f>
        <v/>
      </c>
    </row>
    <row r="6" ht="16.5" customHeight="1" s="59">
      <c r="A6" s="100" t="inlineStr">
        <is>
          <t>VEDPOWER</t>
        </is>
      </c>
      <c r="B6" s="91" t="inlineStr">
        <is>
          <t>NSE</t>
        </is>
      </c>
      <c r="C6" s="91" t="inlineStr">
        <is>
          <t>Utilities</t>
        </is>
      </c>
      <c r="D6" s="90" t="n">
        <v>11</v>
      </c>
      <c r="E6" s="90" t="n">
        <v>28.17</v>
      </c>
      <c r="F6" s="91" t="inlineStr"/>
      <c r="G6" s="90" t="n">
        <v>42.19</v>
      </c>
      <c r="J6" s="90">
        <f>D6*E6</f>
        <v/>
      </c>
      <c r="K6" s="90">
        <f>D6*G6</f>
        <v/>
      </c>
      <c r="L6" s="90">
        <f>K6-J6</f>
        <v/>
      </c>
      <c r="M6" s="90">
        <f>IF(J6=0,0,L6/J6)</f>
        <v/>
      </c>
      <c r="P6" s="90" t="n">
        <v>0</v>
      </c>
      <c r="Q6" s="91">
        <f>IF(ISBLANK(F6),"",IF(TODAY()-F6&gt;365,"LTCG","STCG"))</f>
        <v/>
      </c>
      <c r="R6" s="90">
        <f>L6+IF(ISNUMBER(P6),P6,0)</f>
        <v/>
      </c>
    </row>
    <row r="7" ht="16.5" customHeight="1" s="59">
      <c r="A7" s="100" t="inlineStr">
        <is>
          <t>Visagar Polytex</t>
        </is>
      </c>
      <c r="B7" s="91" t="inlineStr">
        <is>
          <t>NSE</t>
        </is>
      </c>
      <c r="C7" s="91" t="inlineStr">
        <is>
          <t>Textile</t>
        </is>
      </c>
      <c r="D7" s="90" t="n">
        <v>1000</v>
      </c>
      <c r="E7" s="90" t="n">
        <v>1.56</v>
      </c>
      <c r="F7" s="91" t="inlineStr"/>
      <c r="G7" s="90" t="n">
        <v>0.55</v>
      </c>
      <c r="J7" s="90">
        <f>D7*E7</f>
        <v/>
      </c>
      <c r="K7" s="90">
        <f>D7*G7</f>
        <v/>
      </c>
      <c r="L7" s="90">
        <f>K7-J7</f>
        <v/>
      </c>
      <c r="M7" s="90">
        <f>IF(J7=0,0,L7/J7)</f>
        <v/>
      </c>
      <c r="P7" s="90" t="n">
        <v>0</v>
      </c>
      <c r="Q7" s="91">
        <f>IF(ISBLANK(F7),"",IF(TODAY()-F7&gt;365,"LTCG","STCG"))</f>
        <v/>
      </c>
      <c r="R7" s="90">
        <f>L7+IF(ISNUMBER(P7),P7,0)</f>
        <v/>
      </c>
    </row>
    <row r="8" ht="16.5" customHeight="1" s="59">
      <c r="A8" s="100" t="inlineStr">
        <is>
          <t>Power Grid Corpn</t>
        </is>
      </c>
      <c r="B8" s="91" t="inlineStr">
        <is>
          <t>NSE</t>
        </is>
      </c>
      <c r="C8" s="91" t="inlineStr">
        <is>
          <t>Power Generation/Distribution</t>
        </is>
      </c>
      <c r="D8" s="90" t="n">
        <v>2</v>
      </c>
      <c r="E8" s="90" t="n">
        <v>264.21</v>
      </c>
      <c r="F8" s="91" t="inlineStr"/>
      <c r="G8" s="90" t="n">
        <v>284.5</v>
      </c>
      <c r="J8" s="90">
        <f>D8*E8</f>
        <v/>
      </c>
      <c r="K8" s="90">
        <f>D8*G8</f>
        <v/>
      </c>
      <c r="L8" s="90">
        <f>K8-J8</f>
        <v/>
      </c>
      <c r="M8" s="90">
        <f>IF(J8=0,0,L8/J8)</f>
        <v/>
      </c>
      <c r="P8" s="90" t="n">
        <v>0</v>
      </c>
      <c r="Q8" s="91">
        <f>IF(ISBLANK(F8),"",IF(TODAY()-F8&gt;365,"LTCG","STCG"))</f>
        <v/>
      </c>
      <c r="R8" s="90">
        <f>L8+IF(ISNUMBER(P8),P8,0)</f>
        <v/>
      </c>
    </row>
    <row r="9" ht="16.5" customHeight="1" s="59">
      <c r="A9" s="100" t="inlineStr">
        <is>
          <t>Ashok Leyland</t>
        </is>
      </c>
      <c r="B9" s="91" t="inlineStr">
        <is>
          <t>NSE</t>
        </is>
      </c>
      <c r="C9" s="91" t="inlineStr">
        <is>
          <t>Auto - Trucks</t>
        </is>
      </c>
      <c r="D9" s="90" t="n">
        <v>8</v>
      </c>
      <c r="E9" s="90" t="n">
        <v>120.23</v>
      </c>
      <c r="F9" s="91" t="inlineStr"/>
      <c r="G9" s="90" t="n">
        <v>161.12</v>
      </c>
      <c r="J9" s="90">
        <f>D9*E9</f>
        <v/>
      </c>
      <c r="K9" s="90">
        <f>D9*G9</f>
        <v/>
      </c>
      <c r="L9" s="90">
        <f>K9-J9</f>
        <v/>
      </c>
      <c r="M9" s="90">
        <f>IF(J9=0,0,L9/J9)</f>
        <v/>
      </c>
      <c r="P9" s="90" t="n">
        <v>0</v>
      </c>
      <c r="Q9" s="91">
        <f>IF(ISBLANK(F9),"",IF(TODAY()-F9&gt;365,"LTCG","STCG"))</f>
        <v/>
      </c>
      <c r="R9" s="90">
        <f>L9+IF(ISNUMBER(P9),P9,0)</f>
        <v/>
      </c>
    </row>
    <row r="10" ht="16.5" customHeight="1" s="59">
      <c r="A10" s="100" t="inlineStr">
        <is>
          <t>Nip. India Nifty</t>
        </is>
      </c>
      <c r="B10" s="91" t="inlineStr">
        <is>
          <t>NSE</t>
        </is>
      </c>
      <c r="C10" s="91" t="inlineStr">
        <is>
          <t>Other</t>
        </is>
      </c>
      <c r="D10" s="90" t="n">
        <v>1</v>
      </c>
      <c r="E10" s="90" t="n">
        <v>251.83</v>
      </c>
      <c r="F10" s="91" t="inlineStr"/>
      <c r="G10" s="90" t="n">
        <v>273.43</v>
      </c>
      <c r="J10" s="90">
        <f>D10*E10</f>
        <v/>
      </c>
      <c r="K10" s="90">
        <f>D10*G10</f>
        <v/>
      </c>
      <c r="L10" s="90">
        <f>K10-J10</f>
        <v/>
      </c>
      <c r="M10" s="90">
        <f>IF(J10=0,0,L10/J10)</f>
        <v/>
      </c>
      <c r="P10" s="90" t="n">
        <v>0</v>
      </c>
      <c r="Q10" s="91">
        <f>IF(ISBLANK(F10),"",IF(TODAY()-F10&gt;365,"LTCG","STCG"))</f>
        <v/>
      </c>
      <c r="R10" s="90">
        <f>L10+IF(ISNUMBER(P10),P10,0)</f>
        <v/>
      </c>
    </row>
    <row r="11" ht="16.5" customHeight="1" s="59">
      <c r="A11" s="100" t="inlineStr">
        <is>
          <t>HYUNDAI</t>
        </is>
      </c>
      <c r="B11" s="91" t="inlineStr">
        <is>
          <t>NSE</t>
        </is>
      </c>
      <c r="C11" s="91" t="inlineStr">
        <is>
          <t>Automobiles - Passenger Cars</t>
        </is>
      </c>
      <c r="D11" s="90" t="n">
        <v>7</v>
      </c>
      <c r="E11" s="90" t="n">
        <v>1960</v>
      </c>
      <c r="F11" s="91" t="inlineStr"/>
      <c r="G11" s="90" t="n">
        <v>1966</v>
      </c>
      <c r="J11" s="90">
        <f>D11*E11</f>
        <v/>
      </c>
      <c r="K11" s="90">
        <f>D11*G11</f>
        <v/>
      </c>
      <c r="L11" s="90">
        <f>K11-J11</f>
        <v/>
      </c>
      <c r="M11" s="90">
        <f>IF(J11=0,0,L11/J11)</f>
        <v/>
      </c>
      <c r="P11" s="90" t="n">
        <v>0</v>
      </c>
      <c r="Q11" s="91">
        <f>IF(ISBLANK(F11),"",IF(TODAY()-F11&gt;365,"LTCG","STCG"))</f>
        <v/>
      </c>
      <c r="R11" s="90">
        <f>L11+IF(ISNUMBER(P11),P11,0)</f>
        <v/>
      </c>
    </row>
    <row r="12" ht="16.5" customHeight="1" s="59">
      <c r="A12" s="100" t="inlineStr">
        <is>
          <t>Titan Company</t>
        </is>
      </c>
      <c r="B12" s="91" t="inlineStr">
        <is>
          <t>NSE</t>
        </is>
      </c>
      <c r="C12" s="91" t="inlineStr">
        <is>
          <t>Diamond  &amp; Gold  Jewellery</t>
        </is>
      </c>
      <c r="D12" s="90" t="n">
        <v>1</v>
      </c>
      <c r="E12" s="90" t="n">
        <v>2741.16</v>
      </c>
      <c r="F12" s="91" t="inlineStr"/>
      <c r="G12" s="90" t="n">
        <v>4290</v>
      </c>
      <c r="J12" s="90">
        <f>D12*E12</f>
        <v/>
      </c>
      <c r="K12" s="90">
        <f>D12*G12</f>
        <v/>
      </c>
      <c r="L12" s="90">
        <f>K12-J12</f>
        <v/>
      </c>
      <c r="M12" s="90">
        <f>IF(J12=0,0,L12/J12)</f>
        <v/>
      </c>
      <c r="P12" s="90" t="n">
        <v>0</v>
      </c>
      <c r="Q12" s="91">
        <f>IF(ISBLANK(F12),"",IF(TODAY()-F12&gt;365,"LTCG","STCG"))</f>
        <v/>
      </c>
      <c r="R12" s="90">
        <f>L12+IF(ISNUMBER(P12),P12,0)</f>
        <v/>
      </c>
    </row>
    <row r="13" ht="16.5" customHeight="1" s="59">
      <c r="A13" s="100" t="inlineStr">
        <is>
          <t>S A I L</t>
        </is>
      </c>
      <c r="B13" s="91" t="inlineStr">
        <is>
          <t>NSE</t>
        </is>
      </c>
      <c r="C13" s="91" t="inlineStr">
        <is>
          <t>Steel/Sponge Iron/Pig Iron</t>
        </is>
      </c>
      <c r="D13" s="90" t="n">
        <v>10</v>
      </c>
      <c r="E13" s="90" t="n">
        <v>94.15000000000001</v>
      </c>
      <c r="F13" s="91" t="inlineStr"/>
      <c r="G13" s="90" t="n">
        <v>323.6</v>
      </c>
      <c r="J13" s="90">
        <f>D13*E13</f>
        <v/>
      </c>
      <c r="K13" s="90">
        <f>D13*G13</f>
        <v/>
      </c>
      <c r="L13" s="90">
        <f>K13-J13</f>
        <v/>
      </c>
      <c r="M13" s="90">
        <f>IF(J13=0,0,L13/J13)</f>
        <v/>
      </c>
      <c r="P13" s="90" t="n">
        <v>0</v>
      </c>
      <c r="Q13" s="91">
        <f>IF(ISBLANK(F13),"",IF(TODAY()-F13&gt;365,"LTCG","STCG"))</f>
        <v/>
      </c>
      <c r="R13" s="90">
        <f>L13+IF(ISNUMBER(P13),P13,0)</f>
        <v/>
      </c>
    </row>
    <row r="14" ht="16.5" customHeight="1" s="59">
      <c r="A14" s="100" t="inlineStr">
        <is>
          <t>NHPC Ltd</t>
        </is>
      </c>
      <c r="B14" s="91" t="inlineStr">
        <is>
          <t>NSE</t>
        </is>
      </c>
      <c r="C14" s="91" t="inlineStr">
        <is>
          <t>Power Generation/Distribution</t>
        </is>
      </c>
      <c r="D14" s="90" t="n">
        <v>10</v>
      </c>
      <c r="E14" s="90" t="n">
        <v>85.59999999999999</v>
      </c>
      <c r="F14" s="91" t="inlineStr"/>
      <c r="G14" s="90" t="n">
        <v>79.2</v>
      </c>
      <c r="J14" s="90">
        <f>D14*E14</f>
        <v/>
      </c>
      <c r="K14" s="90">
        <f>D14*G14</f>
        <v/>
      </c>
      <c r="L14" s="90">
        <f>K14-J14</f>
        <v/>
      </c>
      <c r="M14" s="90">
        <f>IF(J14=0,0,L14/J14)</f>
        <v/>
      </c>
      <c r="P14" s="90" t="n">
        <v>0</v>
      </c>
      <c r="Q14" s="91">
        <f>IF(ISBLANK(F14),"",IF(TODAY()-F14&gt;365,"LTCG","STCG"))</f>
        <v/>
      </c>
      <c r="R14" s="90">
        <f>L14+IF(ISNUMBER(P14),P14,0)</f>
        <v/>
      </c>
    </row>
    <row r="15" ht="16.5" customHeight="1" s="59">
      <c r="A15" s="100" t="inlineStr">
        <is>
          <t>Vodafone Idea</t>
        </is>
      </c>
      <c r="B15" s="91" t="inlineStr">
        <is>
          <t>NSE</t>
        </is>
      </c>
      <c r="C15" s="91" t="inlineStr">
        <is>
          <t>Telecommunication - Service  Provider</t>
        </is>
      </c>
      <c r="D15" s="90" t="n">
        <v>700</v>
      </c>
      <c r="E15" s="90" t="n">
        <v>11</v>
      </c>
      <c r="F15" s="91" t="inlineStr"/>
      <c r="G15" s="90" t="n">
        <v>14.05</v>
      </c>
      <c r="J15" s="90">
        <f>D15*E15</f>
        <v/>
      </c>
      <c r="K15" s="90">
        <f>D15*G15</f>
        <v/>
      </c>
      <c r="L15" s="90">
        <f>K15-J15</f>
        <v/>
      </c>
      <c r="M15" s="90">
        <f>IF(J15=0,0,L15/J15)</f>
        <v/>
      </c>
      <c r="P15" s="90" t="n">
        <v>0</v>
      </c>
      <c r="Q15" s="91">
        <f>IF(ISBLANK(F15),"",IF(TODAY()-F15&gt;365,"LTCG","STCG"))</f>
        <v/>
      </c>
      <c r="R15" s="90">
        <f>L15+IF(ISNUMBER(P15),P15,0)</f>
        <v/>
      </c>
    </row>
    <row r="16" ht="16.5" customHeight="1" s="59">
      <c r="A16" s="100" t="inlineStr">
        <is>
          <t>St Bk of India</t>
        </is>
      </c>
      <c r="B16" s="91" t="inlineStr">
        <is>
          <t>NSE</t>
        </is>
      </c>
      <c r="C16" s="91" t="inlineStr">
        <is>
          <t>Bank - Public</t>
        </is>
      </c>
      <c r="D16" s="90" t="n">
        <v>2</v>
      </c>
      <c r="E16" s="90" t="n">
        <v>816</v>
      </c>
      <c r="F16" s="91" t="inlineStr"/>
      <c r="G16" s="90" t="n">
        <v>1045.2</v>
      </c>
      <c r="J16" s="90">
        <f>D16*E16</f>
        <v/>
      </c>
      <c r="K16" s="90">
        <f>D16*G16</f>
        <v/>
      </c>
      <c r="L16" s="90">
        <f>K16-J16</f>
        <v/>
      </c>
      <c r="M16" s="90">
        <f>IF(J16=0,0,L16/J16)</f>
        <v/>
      </c>
      <c r="P16" s="90" t="n">
        <v>0</v>
      </c>
      <c r="Q16" s="91">
        <f>IF(ISBLANK(F16),"",IF(TODAY()-F16&gt;365,"LTCG","STCG"))</f>
        <v/>
      </c>
      <c r="R16" s="90">
        <f>L16+IF(ISNUMBER(P16),P16,0)</f>
        <v/>
      </c>
    </row>
    <row r="17" ht="16.5" customHeight="1" s="59">
      <c r="A17" s="100" t="inlineStr">
        <is>
          <t>A R C Finance</t>
        </is>
      </c>
      <c r="B17" s="91" t="inlineStr">
        <is>
          <t>NSE</t>
        </is>
      </c>
      <c r="C17" s="91" t="inlineStr">
        <is>
          <t>Finance/NBFC</t>
        </is>
      </c>
      <c r="D17" s="90" t="n">
        <v>1800</v>
      </c>
      <c r="E17" s="90" t="n">
        <v>0.93</v>
      </c>
      <c r="F17" s="91" t="inlineStr"/>
      <c r="G17" s="90" t="n">
        <v>0.54</v>
      </c>
      <c r="J17" s="90">
        <f>D17*E17</f>
        <v/>
      </c>
      <c r="K17" s="90">
        <f>D17*G17</f>
        <v/>
      </c>
      <c r="L17" s="90">
        <f>K17-J17</f>
        <v/>
      </c>
      <c r="M17" s="90">
        <f>IF(J17=0,0,L17/J17)</f>
        <v/>
      </c>
      <c r="P17" s="90" t="n">
        <v>0</v>
      </c>
      <c r="Q17" s="91">
        <f>IF(ISBLANK(F17),"",IF(TODAY()-F17&gt;365,"LTCG","STCG"))</f>
        <v/>
      </c>
      <c r="R17" s="90">
        <f>L17+IF(ISNUMBER(P17),P17,0)</f>
        <v/>
      </c>
    </row>
    <row r="18" ht="16.5" customHeight="1" s="59">
      <c r="A18" s="100" t="inlineStr">
        <is>
          <t>Servotech Power</t>
        </is>
      </c>
      <c r="B18" s="91" t="inlineStr">
        <is>
          <t>NSE</t>
        </is>
      </c>
      <c r="C18" s="91" t="inlineStr">
        <is>
          <t>Electric Equipment</t>
        </is>
      </c>
      <c r="D18" s="90" t="n">
        <v>15</v>
      </c>
      <c r="E18" s="90" t="n">
        <v>78.14</v>
      </c>
      <c r="F18" s="91" t="inlineStr"/>
      <c r="G18" s="90" t="n">
        <v>98.48999999999999</v>
      </c>
      <c r="J18" s="90">
        <f>D18*E18</f>
        <v/>
      </c>
      <c r="K18" s="90">
        <f>D18*G18</f>
        <v/>
      </c>
      <c r="L18" s="90">
        <f>K18-J18</f>
        <v/>
      </c>
      <c r="M18" s="90">
        <f>IF(J18=0,0,L18/J18)</f>
        <v/>
      </c>
      <c r="P18" s="90" t="n">
        <v>0</v>
      </c>
      <c r="Q18" s="91">
        <f>IF(ISBLANK(F18),"",IF(TODAY()-F18&gt;365,"LTCG","STCG"))</f>
        <v/>
      </c>
      <c r="R18" s="90">
        <f>L18+IF(ISNUMBER(P18),P18,0)</f>
        <v/>
      </c>
    </row>
    <row r="19" ht="16.5" customHeight="1" s="59">
      <c r="A19" s="100" t="inlineStr">
        <is>
          <t>Nippon India NM</t>
        </is>
      </c>
      <c r="B19" s="91" t="inlineStr">
        <is>
          <t>NSE</t>
        </is>
      </c>
      <c r="C19" s="91" t="inlineStr">
        <is>
          <t>Other</t>
        </is>
      </c>
      <c r="D19" s="90" t="n">
        <v>1</v>
      </c>
      <c r="E19" s="90" t="n">
        <v>203.35</v>
      </c>
      <c r="F19" s="91" t="inlineStr"/>
      <c r="G19" s="90" t="n">
        <v>235.25</v>
      </c>
      <c r="J19" s="90">
        <f>D19*E19</f>
        <v/>
      </c>
      <c r="K19" s="90">
        <f>D19*G19</f>
        <v/>
      </c>
      <c r="L19" s="90">
        <f>K19-J19</f>
        <v/>
      </c>
      <c r="M19" s="90">
        <f>IF(J19=0,0,L19/J19)</f>
        <v/>
      </c>
      <c r="P19" s="90" t="n">
        <v>0</v>
      </c>
      <c r="Q19" s="91">
        <f>IF(ISBLANK(F19),"",IF(TODAY()-F19&gt;365,"LTCG","STCG"))</f>
        <v/>
      </c>
      <c r="R19" s="90">
        <f>L19+IF(ISNUMBER(P19),P19,0)</f>
        <v/>
      </c>
    </row>
    <row r="20" ht="16.5" customHeight="1" s="59">
      <c r="A20" s="100" t="inlineStr">
        <is>
          <t>I R F C</t>
        </is>
      </c>
      <c r="B20" s="91" t="inlineStr">
        <is>
          <t>NSE</t>
        </is>
      </c>
      <c r="C20" s="91" t="inlineStr">
        <is>
          <t>Finance/NBFC</t>
        </is>
      </c>
      <c r="D20" s="90" t="n">
        <v>10</v>
      </c>
      <c r="E20" s="90" t="n">
        <v>77.15000000000001</v>
      </c>
      <c r="F20" s="91" t="inlineStr"/>
      <c r="G20" s="90" t="n">
        <v>91.73</v>
      </c>
      <c r="J20" s="90">
        <f>D20*E20</f>
        <v/>
      </c>
      <c r="K20" s="90">
        <f>D20*G20</f>
        <v/>
      </c>
      <c r="L20" s="90">
        <f>K20-J20</f>
        <v/>
      </c>
      <c r="M20" s="90">
        <f>IF(J20=0,0,L20/J20)</f>
        <v/>
      </c>
      <c r="P20" s="90" t="n">
        <v>0</v>
      </c>
      <c r="Q20" s="91">
        <f>IF(ISBLANK(F20),"",IF(TODAY()-F20&gt;365,"LTCG","STCG"))</f>
        <v/>
      </c>
      <c r="R20" s="90">
        <f>L20+IF(ISNUMBER(P20),P20,0)</f>
        <v/>
      </c>
    </row>
    <row r="21" ht="16.5" customHeight="1" s="59">
      <c r="A21" s="100" t="inlineStr">
        <is>
          <t>NASDAQ 100</t>
        </is>
      </c>
      <c r="B21" s="91" t="inlineStr">
        <is>
          <t>NSE</t>
        </is>
      </c>
      <c r="C21" s="91" t="inlineStr">
        <is>
          <t>Other</t>
        </is>
      </c>
      <c r="D21" s="90" t="n">
        <v>2</v>
      </c>
      <c r="E21" s="90" t="n">
        <v>145.1</v>
      </c>
      <c r="F21" s="91" t="inlineStr"/>
      <c r="G21" s="90" t="n">
        <v>325.82</v>
      </c>
      <c r="J21" s="90">
        <f>D21*E21</f>
        <v/>
      </c>
      <c r="K21" s="90">
        <f>D21*G21</f>
        <v/>
      </c>
      <c r="L21" s="90">
        <f>K21-J21</f>
        <v/>
      </c>
      <c r="M21" s="90">
        <f>IF(J21=0,0,L21/J21)</f>
        <v/>
      </c>
      <c r="P21" s="90" t="n">
        <v>0</v>
      </c>
      <c r="Q21" s="91">
        <f>IF(ISBLANK(F21),"",IF(TODAY()-F21&gt;365,"LTCG","STCG"))</f>
        <v/>
      </c>
      <c r="R21" s="90">
        <f>L21+IF(ISNUMBER(P21),P21,0)</f>
        <v/>
      </c>
    </row>
    <row r="22" ht="16.5" customHeight="1" s="59">
      <c r="A22" s="100" t="inlineStr">
        <is>
          <t>Vedanta</t>
        </is>
      </c>
      <c r="B22" s="91" t="inlineStr">
        <is>
          <t>NSE</t>
        </is>
      </c>
      <c r="C22" s="91" t="inlineStr">
        <is>
          <t>Metal - Non Ferrous</t>
        </is>
      </c>
      <c r="D22" s="90" t="n">
        <v>11</v>
      </c>
      <c r="E22" s="90" t="n">
        <v>120.57</v>
      </c>
      <c r="F22" s="91" t="inlineStr"/>
      <c r="G22" s="90" t="n">
        <v>273.4</v>
      </c>
      <c r="J22" s="90">
        <f>D22*E22</f>
        <v/>
      </c>
      <c r="K22" s="90">
        <f>D22*G22</f>
        <v/>
      </c>
      <c r="L22" s="90">
        <f>K22-J22</f>
        <v/>
      </c>
      <c r="M22" s="90">
        <f>IF(J22=0,0,L22/J22)</f>
        <v/>
      </c>
      <c r="P22" s="90" t="n">
        <v>0</v>
      </c>
      <c r="Q22" s="91">
        <f>IF(ISBLANK(F22),"",IF(TODAY()-F22&gt;365,"LTCG","STCG"))</f>
        <v/>
      </c>
      <c r="R22" s="90">
        <f>L22+IF(ISNUMBER(P22),P22,0)</f>
        <v/>
      </c>
    </row>
    <row r="23" ht="16.5" customHeight="1" s="59">
      <c r="A23" s="100" t="inlineStr">
        <is>
          <t>Coal India</t>
        </is>
      </c>
      <c r="B23" s="91" t="inlineStr">
        <is>
          <t>NSE</t>
        </is>
      </c>
      <c r="C23" s="91" t="inlineStr">
        <is>
          <t>Mining &amp; Minerals</t>
        </is>
      </c>
      <c r="D23" s="90" t="n">
        <v>10</v>
      </c>
      <c r="E23" s="90" t="n">
        <v>305.41</v>
      </c>
      <c r="F23" s="91" t="inlineStr"/>
      <c r="G23" s="90" t="n">
        <v>435.65</v>
      </c>
      <c r="J23" s="90">
        <f>D23*E23</f>
        <v/>
      </c>
      <c r="K23" s="90">
        <f>D23*G23</f>
        <v/>
      </c>
      <c r="L23" s="90">
        <f>K23-J23</f>
        <v/>
      </c>
      <c r="M23" s="90">
        <f>IF(J23=0,0,L23/J23)</f>
        <v/>
      </c>
      <c r="P23" s="90" t="n">
        <v>0</v>
      </c>
      <c r="Q23" s="91">
        <f>IF(ISBLANK(F23),"",IF(TODAY()-F23&gt;365,"LTCG","STCG"))</f>
        <v/>
      </c>
      <c r="R23" s="90">
        <f>L23+IF(ISNUMBER(P23),P23,0)</f>
        <v/>
      </c>
    </row>
    <row r="24" ht="16.5" customHeight="1" s="59">
      <c r="A24" s="100" t="inlineStr">
        <is>
          <t>Nip. India Gold</t>
        </is>
      </c>
      <c r="B24" s="91" t="inlineStr">
        <is>
          <t>NSE</t>
        </is>
      </c>
      <c r="C24" s="91" t="inlineStr">
        <is>
          <t>Other</t>
        </is>
      </c>
      <c r="D24" s="90" t="n">
        <v>10</v>
      </c>
      <c r="E24" s="90" t="n">
        <v>60.71</v>
      </c>
      <c r="F24" s="91" t="inlineStr"/>
      <c r="G24" s="90" t="n">
        <v>114.96</v>
      </c>
      <c r="J24" s="90">
        <f>D24*E24</f>
        <v/>
      </c>
      <c r="K24" s="90">
        <f>D24*G24</f>
        <v/>
      </c>
      <c r="L24" s="90">
        <f>K24-J24</f>
        <v/>
      </c>
      <c r="M24" s="90">
        <f>IF(J24=0,0,L24/J24)</f>
        <v/>
      </c>
      <c r="P24" s="90" t="n">
        <v>0</v>
      </c>
      <c r="Q24" s="91">
        <f>IF(ISBLANK(F24),"",IF(TODAY()-F24&gt;365,"LTCG","STCG"))</f>
        <v/>
      </c>
      <c r="R24" s="90">
        <f>L24+IF(ISNUMBER(P24),P24,0)</f>
        <v/>
      </c>
    </row>
    <row r="25" ht="16.5" customHeight="1" s="59">
      <c r="A25" s="100" t="inlineStr">
        <is>
          <t>VAML</t>
        </is>
      </c>
      <c r="B25" s="91" t="inlineStr">
        <is>
          <t>NSE</t>
        </is>
      </c>
      <c r="C25" s="91" t="inlineStr">
        <is>
          <t>Materials</t>
        </is>
      </c>
      <c r="D25" s="90" t="n">
        <v>11</v>
      </c>
      <c r="E25" s="90" t="n">
        <v>16.47</v>
      </c>
      <c r="F25" s="91" t="inlineStr"/>
      <c r="G25" s="90" t="n">
        <v>443</v>
      </c>
      <c r="J25" s="90">
        <f>D25*E25</f>
        <v/>
      </c>
      <c r="K25" s="90">
        <f>D25*G25</f>
        <v/>
      </c>
      <c r="L25" s="90">
        <f>K25-J25</f>
        <v/>
      </c>
      <c r="M25" s="90">
        <f>IF(J25=0,0,L25/J25)</f>
        <v/>
      </c>
      <c r="P25" s="90" t="n">
        <v>0</v>
      </c>
      <c r="Q25" s="91">
        <f>IF(ISBLANK(F25),"",IF(TODAY()-F25&gt;365,"LTCG","STCG"))</f>
        <v/>
      </c>
      <c r="R25" s="90">
        <f>L25+IF(ISNUMBER(P25),P25,0)</f>
        <v/>
      </c>
    </row>
    <row r="26" ht="16.5" customHeight="1" s="59">
      <c r="A26" s="100" t="inlineStr">
        <is>
          <t>CPSE ETF*</t>
        </is>
      </c>
      <c r="B26" s="91" t="inlineStr">
        <is>
          <t>NSE</t>
        </is>
      </c>
      <c r="C26" s="91" t="inlineStr">
        <is>
          <t>Other</t>
        </is>
      </c>
      <c r="D26" s="90" t="n">
        <v>1</v>
      </c>
      <c r="E26" s="90" t="n">
        <v>88.45</v>
      </c>
      <c r="F26" s="91" t="inlineStr"/>
      <c r="G26" s="90" t="n">
        <v>96.14</v>
      </c>
      <c r="J26" s="90">
        <f>D26*E26</f>
        <v/>
      </c>
      <c r="K26" s="90">
        <f>D26*G26</f>
        <v/>
      </c>
      <c r="L26" s="90">
        <f>K26-J26</f>
        <v/>
      </c>
      <c r="M26" s="90">
        <f>IF(J26=0,0,L26/J26)</f>
        <v/>
      </c>
      <c r="P26" s="90" t="n">
        <v>0</v>
      </c>
      <c r="Q26" s="91">
        <f>IF(ISBLANK(F26),"",IF(TODAY()-F26&gt;365,"LTCG","STCG"))</f>
        <v/>
      </c>
      <c r="R26" s="90">
        <f>L26+IF(ISNUMBER(P26),P26,0)</f>
        <v/>
      </c>
    </row>
    <row r="27" ht="16.5" customHeight="1" s="59">
      <c r="A27" s="100" t="inlineStr">
        <is>
          <t>HDFC Bank</t>
        </is>
      </c>
      <c r="B27" s="91" t="inlineStr">
        <is>
          <t>NSE</t>
        </is>
      </c>
      <c r="C27" s="91" t="inlineStr">
        <is>
          <t>Bank - Private</t>
        </is>
      </c>
      <c r="D27" s="90" t="n">
        <v>2</v>
      </c>
      <c r="E27" s="90" t="n">
        <v>755.08</v>
      </c>
      <c r="F27" s="91" t="inlineStr"/>
      <c r="G27" s="90" t="n">
        <v>796.05</v>
      </c>
      <c r="J27" s="90">
        <f>D27*E27</f>
        <v/>
      </c>
      <c r="K27" s="90">
        <f>D27*G27</f>
        <v/>
      </c>
      <c r="L27" s="90">
        <f>K27-J27</f>
        <v/>
      </c>
      <c r="M27" s="90">
        <f>IF(J27=0,0,L27/J27)</f>
        <v/>
      </c>
      <c r="P27" s="90" t="n">
        <v>0</v>
      </c>
      <c r="Q27" s="91">
        <f>IF(ISBLANK(F27),"",IF(TODAY()-F27&gt;365,"LTCG","STCG"))</f>
        <v/>
      </c>
      <c r="R27" s="90">
        <f>L27+IF(ISNUMBER(P27),P27,0)</f>
        <v/>
      </c>
    </row>
    <row r="28" ht="16.5" customHeight="1" s="59">
      <c r="A28" s="100" t="inlineStr">
        <is>
          <t>VOGL</t>
        </is>
      </c>
      <c r="B28" s="91" t="inlineStr">
        <is>
          <t>NSE</t>
        </is>
      </c>
      <c r="C28" s="91" t="inlineStr">
        <is>
          <t>Materials</t>
        </is>
      </c>
      <c r="D28" s="90" t="n">
        <v>11</v>
      </c>
      <c r="E28" s="90" t="n">
        <v>49.5</v>
      </c>
      <c r="F28" s="91" t="inlineStr"/>
      <c r="G28" s="90" t="n">
        <v>33.1</v>
      </c>
      <c r="J28" s="90">
        <f>D28*E28</f>
        <v/>
      </c>
      <c r="K28" s="90">
        <f>D28*G28</f>
        <v/>
      </c>
      <c r="L28" s="90">
        <f>K28-J28</f>
        <v/>
      </c>
      <c r="M28" s="90">
        <f>IF(J28=0,0,L28/J28)</f>
        <v/>
      </c>
      <c r="P28" s="90" t="n">
        <v>0</v>
      </c>
      <c r="Q28" s="91">
        <f>IF(ISBLANK(F28),"",IF(TODAY()-F28&gt;365,"LTCG","STCG"))</f>
        <v/>
      </c>
      <c r="R28" s="90">
        <f>L28+IF(ISNUMBER(P28),P28,0)</f>
        <v/>
      </c>
    </row>
    <row r="29" ht="16.5" customHeight="1" s="59">
      <c r="A29" s="100" t="inlineStr">
        <is>
          <t>Rama Steel Tubes</t>
        </is>
      </c>
      <c r="B29" s="91" t="inlineStr">
        <is>
          <t>NSE</t>
        </is>
      </c>
      <c r="C29" s="91" t="inlineStr">
        <is>
          <t>Steel/Sponge Iron/Pig Iron</t>
        </is>
      </c>
      <c r="D29" s="90" t="n">
        <v>30</v>
      </c>
      <c r="E29" s="90" t="n">
        <v>12.38</v>
      </c>
      <c r="F29" s="91" t="inlineStr"/>
      <c r="G29" s="90" t="n">
        <v>4.65</v>
      </c>
      <c r="J29" s="90">
        <f>D29*E29</f>
        <v/>
      </c>
      <c r="K29" s="90">
        <f>D29*G29</f>
        <v/>
      </c>
      <c r="L29" s="90">
        <f>K29-J29</f>
        <v/>
      </c>
      <c r="M29" s="90">
        <f>IF(J29=0,0,L29/J29)</f>
        <v/>
      </c>
      <c r="P29" s="90" t="n">
        <v>0</v>
      </c>
      <c r="Q29" s="91">
        <f>IF(ISBLANK(F29),"",IF(TODAY()-F29&gt;365,"LTCG","STCG"))</f>
        <v/>
      </c>
      <c r="R29" s="90">
        <f>L29+IF(ISNUMBER(P29),P29,0)</f>
        <v/>
      </c>
    </row>
    <row r="30" ht="16.5" customHeight="1" s="59">
      <c r="A30" s="100" t="inlineStr">
        <is>
          <t>HDFC NSC 250 ETF</t>
        </is>
      </c>
      <c r="B30" s="91" t="inlineStr">
        <is>
          <t>NSE</t>
        </is>
      </c>
      <c r="C30" s="91" t="inlineStr">
        <is>
          <t>Other</t>
        </is>
      </c>
      <c r="D30" s="90" t="n">
        <v>1</v>
      </c>
      <c r="E30" s="90" t="n">
        <v>160.2</v>
      </c>
      <c r="F30" s="91" t="inlineStr"/>
      <c r="G30" s="90" t="n">
        <v>177.91</v>
      </c>
      <c r="J30" s="90">
        <f>D30*E30</f>
        <v/>
      </c>
      <c r="K30" s="90">
        <f>D30*G30</f>
        <v/>
      </c>
      <c r="L30" s="90">
        <f>K30-J30</f>
        <v/>
      </c>
      <c r="M30" s="90">
        <f>IF(J30=0,0,L30/J30)</f>
        <v/>
      </c>
      <c r="P30" s="90" t="n">
        <v>0</v>
      </c>
      <c r="Q30" s="91">
        <f>IF(ISBLANK(F30),"",IF(TODAY()-F30&gt;365,"LTCG","STCG"))</f>
        <v/>
      </c>
      <c r="R30" s="90">
        <f>L30+IF(ISNUMBER(P30),P30,0)</f>
        <v/>
      </c>
    </row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 Tracker</dc:creator>
  <dcterms:created xsi:type="dcterms:W3CDTF">2026-05-25T11:08:31Z</dcterms:created>
  <dcterms:modified xsi:type="dcterms:W3CDTF">2026-06-28T13:28:35Z</dcterms:modified>
  <cp:lastModifiedBy>Krish Mehta</cp:lastModifiedBy>
</cp:coreProperties>
</file>