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10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  <xf numFmtId="0" fontId="17" fillId="10" borderId="2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0" fontId="17" fillId="11" borderId="2" applyAlignment="1" pivotButton="0" quotePrefix="0" xfId="0">
      <alignment horizontal="center"/>
    </xf>
    <xf numFmtId="0" fontId="17" fillId="11" borderId="2" applyAlignment="1" pivotButton="0" quotePrefix="0" xfId="0">
      <alignment horizontal="right"/>
    </xf>
    <xf numFmtId="4" fontId="17" fillId="11" borderId="2" applyAlignment="1" pivotButton="0" quotePrefix="0" xfId="0">
      <alignment horizontal="right"/>
    </xf>
    <xf numFmtId="164" fontId="17" fillId="11" borderId="2" applyAlignment="1" pivotButton="0" quotePrefix="0" xfId="0">
      <alignment horizontal="center"/>
    </xf>
    <xf numFmtId="4" fontId="17" fillId="4" borderId="2" applyAlignment="1" pivotButton="0" quotePrefix="0" xfId="0">
      <alignment horizontal="right"/>
    </xf>
    <xf numFmtId="10" fontId="17" fillId="4" borderId="2" applyAlignment="1" pivotButton="0" quotePrefix="0" xfId="0">
      <alignment horizontal="right"/>
    </xf>
    <xf numFmtId="0" fontId="17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17" fillId="11" borderId="2" applyAlignment="1" pivotButton="0" quotePrefix="0" xfId="0">
      <alignment horizontal="left"/>
    </xf>
    <xf numFmtId="0" fontId="17" fillId="10" borderId="2" applyAlignment="1" pivotButton="0" quotePrefix="0" xfId="0">
      <alignment horizontal="center"/>
    </xf>
    <xf numFmtId="0" fontId="17" fillId="10" borderId="2" applyAlignment="1" pivotButton="0" quotePrefix="0" xfId="0">
      <alignment horizontal="right"/>
    </xf>
    <xf numFmtId="4" fontId="17" fillId="10" borderId="2" applyAlignment="1" pivotButton="0" quotePrefix="0" xfId="0">
      <alignment horizontal="right"/>
    </xf>
    <xf numFmtId="164" fontId="17" fillId="10" borderId="2" applyAlignment="1" pivotButton="0" quotePrefix="0" xfId="0">
      <alignment horizontal="center"/>
    </xf>
    <xf numFmtId="4" fontId="17" fillId="5" borderId="2" applyAlignment="1" pivotButton="0" quotePrefix="0" xfId="0">
      <alignment horizontal="right"/>
    </xf>
    <xf numFmtId="10" fontId="17" fillId="5" borderId="2" applyAlignment="1" pivotButton="0" quotePrefix="0" xfId="0">
      <alignment horizontal="right"/>
    </xf>
    <xf numFmtId="0" fontId="17" fillId="1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52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>
      <c r="A4" s="22" t="inlineStr">
        <is>
          <t>ARCFIN</t>
        </is>
      </c>
      <c r="B4" s="23" t="inlineStr">
        <is>
          <t>BSE</t>
        </is>
      </c>
      <c r="C4" s="22" t="inlineStr">
        <is>
          <t>Banking &amp; Finance</t>
        </is>
      </c>
      <c r="D4" s="24" t="n">
        <v>1800</v>
      </c>
      <c r="E4" s="25" t="n">
        <v>0.93</v>
      </c>
      <c r="F4" s="26" t="n"/>
      <c r="G4" s="25" t="n">
        <v>0.5600000000000001</v>
      </c>
      <c r="H4" s="24" t="n"/>
      <c r="I4" s="24" t="n"/>
      <c r="J4" s="76">
        <f>IFERROR(D4*E4,"")</f>
        <v/>
      </c>
      <c r="K4" s="76">
        <f>IFERROR(D4*G4,"")</f>
        <v/>
      </c>
      <c r="L4" s="76">
        <f>IFERROR(K4-J4,"")</f>
        <v/>
      </c>
      <c r="M4" s="77">
        <f>IFERROR((K4-J4)/J4,"")</f>
        <v/>
      </c>
      <c r="N4" s="77">
        <f>IFERROR(IF(F4="","",((G4/E4)^(365/MAX(1,TODAY()-F4))-1)),"")</f>
        <v/>
      </c>
      <c r="O4" s="77">
        <f>IFERROR(K4/SUM($K$4:$K$53),"")</f>
        <v/>
      </c>
      <c r="Q4" s="75">
        <f>IF(ISBLANK(F4), "", IF(TODAY()-F4&gt;365, "LTCG", "STCG"))</f>
        <v/>
      </c>
      <c r="R4" s="75">
        <f>IF(ISBLANK(L4), "", L4+IF(ISNUMBER(P4), P4, 0))</f>
        <v/>
      </c>
    </row>
    <row r="5" ht="16.5" customHeight="1" s="59">
      <c r="A5" s="29" t="inlineStr">
        <is>
          <t>ASHOKLEY</t>
        </is>
      </c>
      <c r="B5" s="30" t="inlineStr">
        <is>
          <t>NSE</t>
        </is>
      </c>
      <c r="C5" s="29" t="inlineStr">
        <is>
          <t>Industrials</t>
        </is>
      </c>
      <c r="D5" s="31" t="n">
        <v>8</v>
      </c>
      <c r="E5" s="32" t="n">
        <v>120.23</v>
      </c>
      <c r="F5" s="33" t="n"/>
      <c r="G5" s="32" t="n">
        <v>157.7</v>
      </c>
      <c r="H5" s="31" t="n"/>
      <c r="I5" s="31" t="n"/>
      <c r="J5" s="78">
        <f>IFERROR(D5*E5,"")</f>
        <v/>
      </c>
      <c r="K5" s="78">
        <f>IFERROR(D5*G5,"")</f>
        <v/>
      </c>
      <c r="L5" s="78">
        <f>IFERROR(K5-J5,"")</f>
        <v/>
      </c>
      <c r="M5" s="79">
        <f>IFERROR((K5-J5)/J5,"")</f>
        <v/>
      </c>
      <c r="N5" s="79">
        <f>IFERROR(IF(F5="","",((G5/E5)^(365/MAX(1,TODAY()-F5))-1)),"")</f>
        <v/>
      </c>
      <c r="O5" s="79">
        <f>IFERROR(K5/SUM($K$4:$K$53),"")</f>
        <v/>
      </c>
      <c r="Q5" s="75">
        <f>IF(ISBLANK(F5), "", IF(TODAY()-F5&gt;365, "LTCG", "STCG"))</f>
        <v/>
      </c>
      <c r="R5" s="75">
        <f>IF(ISBLANK(L5), "", L5+IF(ISNUMBER(P5), P5, 0))</f>
        <v/>
      </c>
    </row>
    <row r="6" ht="16.5" customHeight="1" s="59">
      <c r="A6" s="22" t="inlineStr">
        <is>
          <t>COALINDIA</t>
        </is>
      </c>
      <c r="B6" s="30" t="inlineStr">
        <is>
          <t>NSE</t>
        </is>
      </c>
      <c r="C6" s="22" t="inlineStr">
        <is>
          <t>Energy</t>
        </is>
      </c>
      <c r="D6" s="24" t="n">
        <v>10</v>
      </c>
      <c r="E6" s="25" t="n">
        <v>305.41</v>
      </c>
      <c r="F6" s="26" t="n"/>
      <c r="G6" s="25" t="n">
        <v>444.05</v>
      </c>
      <c r="H6" s="24" t="n"/>
      <c r="I6" s="24" t="n"/>
      <c r="J6" s="76">
        <f>IFERROR(D6*E6,"")</f>
        <v/>
      </c>
      <c r="K6" s="76">
        <f>IFERROR(D6*G6,"")</f>
        <v/>
      </c>
      <c r="L6" s="76">
        <f>IFERROR(K6-J6,"")</f>
        <v/>
      </c>
      <c r="M6" s="77">
        <f>IFERROR((K6-J6)/J6,"")</f>
        <v/>
      </c>
      <c r="N6" s="77">
        <f>IFERROR(IF(F6="","",((G6/E6)^(365/MAX(1,TODAY()-F6))-1)),"")</f>
        <v/>
      </c>
      <c r="O6" s="77">
        <f>IFERROR(K6/SUM($K$4:$K$53),"")</f>
        <v/>
      </c>
      <c r="Q6" s="75">
        <f>IF(ISBLANK(F6), "", IF(TODAY()-F6&gt;365, "LTCG", "STCG"))</f>
        <v/>
      </c>
      <c r="R6" s="75">
        <f>IF(ISBLANK(L6), "", L6+IF(ISNUMBER(P6), P6, 0))</f>
        <v/>
      </c>
    </row>
    <row r="7" ht="16.5" customHeight="1" s="59">
      <c r="A7" s="29" t="inlineStr">
        <is>
          <t>CPSEETF</t>
        </is>
      </c>
      <c r="B7" s="30" t="inlineStr">
        <is>
          <t>NSE</t>
        </is>
      </c>
      <c r="C7" s="29" t="n"/>
      <c r="D7" s="31" t="n">
        <v>1</v>
      </c>
      <c r="E7" s="32" t="n">
        <v>88.45</v>
      </c>
      <c r="F7" s="33" t="n"/>
      <c r="G7" s="32" t="n">
        <v>96.95</v>
      </c>
      <c r="H7" s="31" t="n"/>
      <c r="I7" s="31" t="n"/>
      <c r="J7" s="78">
        <f>IFERROR(D7*E7,"")</f>
        <v/>
      </c>
      <c r="K7" s="78">
        <f>IFERROR(D7*G7,"")</f>
        <v/>
      </c>
      <c r="L7" s="78">
        <f>IFERROR(K7-J7,"")</f>
        <v/>
      </c>
      <c r="M7" s="79">
        <f>IFERROR((K7-J7)/J7,"")</f>
        <v/>
      </c>
      <c r="N7" s="79">
        <f>IFERROR(IF(F7="","",((G7/E7)^(365/MAX(1,TODAY()-F7))-1)),"")</f>
        <v/>
      </c>
      <c r="O7" s="79">
        <f>IFERROR(K7/SUM($K$4:$K$53),"")</f>
        <v/>
      </c>
      <c r="Q7" s="75">
        <f>IF(ISBLANK(F7), "", IF(TODAY()-F7&gt;365, "LTCG", "STCG"))</f>
        <v/>
      </c>
      <c r="R7" s="75">
        <f>IF(ISBLANK(L7), "", L7+IF(ISNUMBER(P7), P7, 0))</f>
        <v/>
      </c>
    </row>
    <row r="8" ht="16.5" customHeight="1" s="59">
      <c r="A8" s="22" t="inlineStr">
        <is>
          <t>GOLDBEES</t>
        </is>
      </c>
      <c r="B8" s="30" t="inlineStr">
        <is>
          <t>NSE</t>
        </is>
      </c>
      <c r="C8" s="22" t="n"/>
      <c r="D8" s="24" t="n">
        <v>10</v>
      </c>
      <c r="E8" s="25" t="n">
        <v>60.71</v>
      </c>
      <c r="F8" s="26" t="n"/>
      <c r="G8" s="25" t="n">
        <v>124.11</v>
      </c>
      <c r="H8" s="24" t="n"/>
      <c r="I8" s="24" t="n"/>
      <c r="J8" s="76">
        <f>IFERROR(D8*E8,"")</f>
        <v/>
      </c>
      <c r="K8" s="76">
        <f>IFERROR(D8*G8,"")</f>
        <v/>
      </c>
      <c r="L8" s="76">
        <f>IFERROR(K8-J8,"")</f>
        <v/>
      </c>
      <c r="M8" s="77">
        <f>IFERROR((K8-J8)/J8,"")</f>
        <v/>
      </c>
      <c r="N8" s="77">
        <f>IFERROR(IF(F8="","",((G8/E8)^(365/MAX(1,TODAY()-F8))-1)),"")</f>
        <v/>
      </c>
      <c r="O8" s="77">
        <f>IFERROR(K8/SUM($K$4:$K$53),"")</f>
        <v/>
      </c>
      <c r="Q8" s="75">
        <f>IF(ISBLANK(F8), "", IF(TODAY()-F8&gt;365, "LTCG", "STCG"))</f>
        <v/>
      </c>
      <c r="R8" s="75">
        <f>IF(ISBLANK(L8), "", L8+IF(ISNUMBER(P8), P8, 0))</f>
        <v/>
      </c>
    </row>
    <row r="9" ht="16.5" customHeight="1" s="59">
      <c r="A9" s="29" t="inlineStr">
        <is>
          <t>HDFCBANK</t>
        </is>
      </c>
      <c r="B9" s="30" t="inlineStr">
        <is>
          <t>NSE</t>
        </is>
      </c>
      <c r="C9" s="29" t="inlineStr">
        <is>
          <t>Banking &amp; Finance</t>
        </is>
      </c>
      <c r="D9" s="31" t="n">
        <v>2</v>
      </c>
      <c r="E9" s="32" t="n">
        <v>755.08</v>
      </c>
      <c r="F9" s="33" t="n"/>
      <c r="G9" s="32" t="n">
        <v>777.35</v>
      </c>
      <c r="H9" s="31" t="n"/>
      <c r="I9" s="31" t="n"/>
      <c r="J9" s="78">
        <f>IFERROR(D9*E9,"")</f>
        <v/>
      </c>
      <c r="K9" s="78">
        <f>IFERROR(D9*G9,"")</f>
        <v/>
      </c>
      <c r="L9" s="78">
        <f>IFERROR(K9-J9,"")</f>
        <v/>
      </c>
      <c r="M9" s="79">
        <f>IFERROR((K9-J9)/J9,"")</f>
        <v/>
      </c>
      <c r="N9" s="79">
        <f>IFERROR(IF(F9="","",((G9/E9)^(365/MAX(1,TODAY()-F9))-1)),"")</f>
        <v/>
      </c>
      <c r="O9" s="79">
        <f>IFERROR(K9/SUM($K$4:$K$53),"")</f>
        <v/>
      </c>
      <c r="Q9" s="75">
        <f>IF(ISBLANK(F9), "", IF(TODAY()-F9&gt;365, "LTCG", "STCG"))</f>
        <v/>
      </c>
      <c r="R9" s="75">
        <f>IF(ISBLANK(L9), "", L9+IF(ISNUMBER(P9), P9, 0))</f>
        <v/>
      </c>
    </row>
    <row r="10" ht="16.5" customHeight="1" s="59">
      <c r="A10" s="22" t="inlineStr">
        <is>
          <t>HDFCSML250</t>
        </is>
      </c>
      <c r="B10" s="30" t="inlineStr">
        <is>
          <t>NSE</t>
        </is>
      </c>
      <c r="C10" s="22" t="n"/>
      <c r="D10" s="24" t="n">
        <v>1</v>
      </c>
      <c r="E10" s="25" t="n">
        <v>160.2</v>
      </c>
      <c r="F10" s="26" t="n"/>
      <c r="G10" s="25" t="n">
        <v>174.24</v>
      </c>
      <c r="H10" s="24" t="n"/>
      <c r="I10" s="24" t="n"/>
      <c r="J10" s="76">
        <f>IFERROR(D10*E10,"")</f>
        <v/>
      </c>
      <c r="K10" s="76">
        <f>IFERROR(D10*G10,"")</f>
        <v/>
      </c>
      <c r="L10" s="76">
        <f>IFERROR(K10-J10,"")</f>
        <v/>
      </c>
      <c r="M10" s="77">
        <f>IFERROR((K10-J10)/J10,"")</f>
        <v/>
      </c>
      <c r="N10" s="77">
        <f>IFERROR(IF(F10="","",((G10/E10)^(365/MAX(1,TODAY()-F10))-1)),"")</f>
        <v/>
      </c>
      <c r="O10" s="77">
        <f>IFERROR(K10/SUM($K$4:$K$53),"")</f>
        <v/>
      </c>
      <c r="Q10" s="75">
        <f>IF(ISBLANK(F10), "", IF(TODAY()-F10&gt;365, "LTCG", "STCG"))</f>
        <v/>
      </c>
      <c r="R10" s="75">
        <f>IF(ISBLANK(L10), "", L10+IF(ISNUMBER(P10), P10, 0))</f>
        <v/>
      </c>
    </row>
    <row r="11" ht="16.5" customHeight="1" s="59">
      <c r="A11" s="22" t="inlineStr">
        <is>
          <t>HYUNDAI</t>
        </is>
      </c>
      <c r="B11" s="30" t="inlineStr">
        <is>
          <t>NSE</t>
        </is>
      </c>
      <c r="C11" s="29" t="inlineStr">
        <is>
          <t>Consumer Discretionary</t>
        </is>
      </c>
      <c r="D11" s="31" t="n">
        <v>7</v>
      </c>
      <c r="E11" s="32" t="n">
        <v>1960</v>
      </c>
      <c r="F11" s="33" t="n"/>
      <c r="G11" s="32" t="n">
        <v>2030.1</v>
      </c>
      <c r="H11" s="31" t="n"/>
      <c r="I11" s="31" t="n"/>
      <c r="J11" s="78">
        <f>IFERROR(D11*E11,"")</f>
        <v/>
      </c>
      <c r="K11" s="78">
        <f>IFERROR(D11*G11,"")</f>
        <v/>
      </c>
      <c r="L11" s="78">
        <f>IFERROR(K11-J11,"")</f>
        <v/>
      </c>
      <c r="M11" s="79">
        <f>IFERROR((K11-J11)/J11,"")</f>
        <v/>
      </c>
      <c r="N11" s="79">
        <f>IFERROR(IF(F11="","",((G11/E11)^(365/MAX(1,TODAY()-F11))-1)),"")</f>
        <v/>
      </c>
      <c r="O11" s="79">
        <f>IFERROR(K11/SUM($K$4:$K$53),"")</f>
        <v/>
      </c>
      <c r="Q11" s="75">
        <f>IF(ISBLANK(F11), "", IF(TODAY()-F11&gt;365, "LTCG", "STCG"))</f>
        <v/>
      </c>
      <c r="R11" s="75">
        <f>IF(ISBLANK(L11), "", L11+IF(ISNUMBER(P11), P11, 0))</f>
        <v/>
      </c>
    </row>
    <row r="12" ht="16.5" customHeight="1" s="59">
      <c r="A12" s="29" t="inlineStr">
        <is>
          <t>IDEA</t>
        </is>
      </c>
      <c r="B12" s="30" t="inlineStr">
        <is>
          <t>NSE</t>
        </is>
      </c>
      <c r="C12" s="22" t="inlineStr">
        <is>
          <t>Communication</t>
        </is>
      </c>
      <c r="D12" s="24" t="n">
        <v>700</v>
      </c>
      <c r="E12" s="25" t="n">
        <v>11</v>
      </c>
      <c r="F12" s="26" t="n"/>
      <c r="G12" s="25" t="n">
        <v>14.95</v>
      </c>
      <c r="H12" s="24" t="n"/>
      <c r="I12" s="24" t="n"/>
      <c r="J12" s="76">
        <f>IFERROR(D12*E12,"")</f>
        <v/>
      </c>
      <c r="K12" s="76">
        <f>IFERROR(D12*G12,"")</f>
        <v/>
      </c>
      <c r="L12" s="76">
        <f>IFERROR(K12-J12,"")</f>
        <v/>
      </c>
      <c r="M12" s="77">
        <f>IFERROR((K12-J12)/J12,"")</f>
        <v/>
      </c>
      <c r="N12" s="77">
        <f>IFERROR(IF(F12="","",((G12/E12)^(365/MAX(1,TODAY()-F12))-1)),"")</f>
        <v/>
      </c>
      <c r="O12" s="77">
        <f>IFERROR(K12/SUM($K$4:$K$53),"")</f>
        <v/>
      </c>
      <c r="Q12" s="75">
        <f>IF(ISBLANK(F12), "", IF(TODAY()-F12&gt;365, "LTCG", "STCG"))</f>
        <v/>
      </c>
      <c r="R12" s="75">
        <f>IF(ISBLANK(L12), "", L12+IF(ISNUMBER(P12), P12, 0))</f>
        <v/>
      </c>
    </row>
    <row r="13" ht="16.5" customHeight="1" s="59">
      <c r="A13" s="22" t="inlineStr">
        <is>
          <t>IRFC</t>
        </is>
      </c>
      <c r="B13" s="30" t="inlineStr">
        <is>
          <t>NSE</t>
        </is>
      </c>
      <c r="C13" s="29" t="inlineStr">
        <is>
          <t>Banking &amp; Finance</t>
        </is>
      </c>
      <c r="D13" s="31" t="n">
        <v>10</v>
      </c>
      <c r="E13" s="32" t="n">
        <v>77.15000000000001</v>
      </c>
      <c r="F13" s="33" t="n"/>
      <c r="G13" s="32" t="n">
        <v>97.08</v>
      </c>
      <c r="H13" s="31" t="n"/>
      <c r="I13" s="31" t="n"/>
      <c r="J13" s="78">
        <f>IFERROR(D13*E13,"")</f>
        <v/>
      </c>
      <c r="K13" s="78">
        <f>IFERROR(D13*G13,"")</f>
        <v/>
      </c>
      <c r="L13" s="78">
        <f>IFERROR(K13-J13,"")</f>
        <v/>
      </c>
      <c r="M13" s="79">
        <f>IFERROR((K13-J13)/J13,"")</f>
        <v/>
      </c>
      <c r="N13" s="79">
        <f>IFERROR(IF(F13="","",((G13/E13)^(365/MAX(1,TODAY()-F13))-1)),"")</f>
        <v/>
      </c>
      <c r="O13" s="79">
        <f>IFERROR(K13/SUM($K$4:$K$53),"")</f>
        <v/>
      </c>
      <c r="Q13" s="75">
        <f>IF(ISBLANK(F13), "", IF(TODAY()-F13&gt;365, "LTCG", "STCG"))</f>
        <v/>
      </c>
      <c r="R13" s="75">
        <f>IF(ISBLANK(L13), "", L13+IF(ISNUMBER(P13), P13, 0))</f>
        <v/>
      </c>
    </row>
    <row r="14" ht="16.5" customHeight="1" s="59">
      <c r="A14" s="29" t="inlineStr">
        <is>
          <t>LTGILTBEES</t>
        </is>
      </c>
      <c r="B14" s="30" t="inlineStr">
        <is>
          <t>NSE</t>
        </is>
      </c>
      <c r="C14" s="22" t="n"/>
      <c r="D14" s="24" t="n">
        <v>6</v>
      </c>
      <c r="E14" s="25" t="n">
        <v>25.75</v>
      </c>
      <c r="F14" s="26" t="n"/>
      <c r="G14" s="25" t="n">
        <v>29.62</v>
      </c>
      <c r="H14" s="24" t="n"/>
      <c r="I14" s="24" t="n"/>
      <c r="J14" s="76">
        <f>IFERROR(D14*E14,"")</f>
        <v/>
      </c>
      <c r="K14" s="76">
        <f>IFERROR(D14*G14,"")</f>
        <v/>
      </c>
      <c r="L14" s="76">
        <f>IFERROR(K14-J14,"")</f>
        <v/>
      </c>
      <c r="M14" s="77">
        <f>IFERROR((K14-J14)/J14,"")</f>
        <v/>
      </c>
      <c r="N14" s="77">
        <f>IFERROR(IF(F14="","",((G14/E14)^(365/MAX(1,TODAY()-F14))-1)),"")</f>
        <v/>
      </c>
      <c r="O14" s="77">
        <f>IFERROR(K14/SUM($K$4:$K$53),"")</f>
        <v/>
      </c>
      <c r="Q14" s="75">
        <f>IF(ISBLANK(F14), "", IF(TODAY()-F14&gt;365, "LTCG", "STCG"))</f>
        <v/>
      </c>
      <c r="R14" s="75">
        <f>IF(ISBLANK(L14), "", L14+IF(ISNUMBER(P14), P14, 0))</f>
        <v/>
      </c>
    </row>
    <row r="15" ht="16.5" customHeight="1" s="59">
      <c r="A15" s="22" t="inlineStr">
        <is>
          <t>MID150BEES</t>
        </is>
      </c>
      <c r="B15" s="30" t="inlineStr">
        <is>
          <t>NSE</t>
        </is>
      </c>
      <c r="C15" s="29" t="n"/>
      <c r="D15" s="31" t="n">
        <v>1</v>
      </c>
      <c r="E15" s="32" t="n">
        <v>203.35</v>
      </c>
      <c r="F15" s="33" t="n"/>
      <c r="G15" s="32" t="n">
        <v>233.69</v>
      </c>
      <c r="H15" s="31" t="n"/>
      <c r="I15" s="31" t="n"/>
      <c r="J15" s="78">
        <f>IFERROR(D15*E15,"")</f>
        <v/>
      </c>
      <c r="K15" s="78">
        <f>IFERROR(D15*G15,"")</f>
        <v/>
      </c>
      <c r="L15" s="78">
        <f>IFERROR(K15-J15,"")</f>
        <v/>
      </c>
      <c r="M15" s="79">
        <f>IFERROR((K15-J15)/J15,"")</f>
        <v/>
      </c>
      <c r="N15" s="79">
        <f>IFERROR(IF(F15="","",((G15/E15)^(365/MAX(1,TODAY()-F15))-1)),"")</f>
        <v/>
      </c>
      <c r="O15" s="79">
        <f>IFERROR(K15/SUM($K$4:$K$53),"")</f>
        <v/>
      </c>
      <c r="Q15" s="75">
        <f>IF(ISBLANK(F15), "", IF(TODAY()-F15&gt;365, "LTCG", "STCG"))</f>
        <v/>
      </c>
      <c r="R15" s="75">
        <f>IF(ISBLANK(L15), "", L15+IF(ISNUMBER(P15), P15, 0))</f>
        <v/>
      </c>
    </row>
    <row r="16" ht="16.5" customHeight="1" s="59">
      <c r="A16" s="29" t="inlineStr">
        <is>
          <t>MON100</t>
        </is>
      </c>
      <c r="B16" s="30" t="inlineStr">
        <is>
          <t>NSE</t>
        </is>
      </c>
      <c r="C16" s="22" t="n"/>
      <c r="D16" s="24" t="n">
        <v>2</v>
      </c>
      <c r="E16" s="25" t="n">
        <v>145.1</v>
      </c>
      <c r="F16" s="26" t="n"/>
      <c r="G16" s="25" t="n">
        <v>330.19</v>
      </c>
      <c r="H16" s="24" t="n"/>
      <c r="I16" s="24" t="n"/>
      <c r="J16" s="76">
        <f>IFERROR(D16*E16,"")</f>
        <v/>
      </c>
      <c r="K16" s="76">
        <f>IFERROR(D16*G16,"")</f>
        <v/>
      </c>
      <c r="L16" s="76">
        <f>IFERROR(K16-J16,"")</f>
        <v/>
      </c>
      <c r="M16" s="77">
        <f>IFERROR((K16-J16)/J16,"")</f>
        <v/>
      </c>
      <c r="N16" s="77">
        <f>IFERROR(IF(F16="","",((G16/E16)^(365/MAX(1,TODAY()-F16))-1)),"")</f>
        <v/>
      </c>
      <c r="O16" s="77">
        <f>IFERROR(K16/SUM($K$4:$K$53),"")</f>
        <v/>
      </c>
      <c r="Q16" s="75">
        <f>IF(ISBLANK(F16), "", IF(TODAY()-F16&gt;365, "LTCG", "STCG"))</f>
        <v/>
      </c>
      <c r="R16" s="75">
        <f>IF(ISBLANK(L16), "", L16+IF(ISNUMBER(P16), P16, 0))</f>
        <v/>
      </c>
    </row>
    <row r="17" ht="16.5" customHeight="1" s="59">
      <c r="A17" s="22" t="inlineStr">
        <is>
          <t>NHPC</t>
        </is>
      </c>
      <c r="B17" s="30" t="inlineStr">
        <is>
          <t>NSE</t>
        </is>
      </c>
      <c r="C17" s="29" t="inlineStr">
        <is>
          <t>Utilities</t>
        </is>
      </c>
      <c r="D17" s="31" t="n">
        <v>10</v>
      </c>
      <c r="E17" s="32" t="n">
        <v>85.59999999999999</v>
      </c>
      <c r="F17" s="33" t="n"/>
      <c r="G17" s="32" t="n">
        <v>74.69</v>
      </c>
      <c r="H17" s="31" t="n"/>
      <c r="I17" s="31" t="n"/>
      <c r="J17" s="78">
        <f>IFERROR(D17*E17,"")</f>
        <v/>
      </c>
      <c r="K17" s="78">
        <f>IFERROR(D17*G17,"")</f>
        <v/>
      </c>
      <c r="L17" s="78">
        <f>IFERROR(K17-J17,"")</f>
        <v/>
      </c>
      <c r="M17" s="79">
        <f>IFERROR((K17-J17)/J17,"")</f>
        <v/>
      </c>
      <c r="N17" s="79">
        <f>IFERROR(IF(F17="","",((G17/E17)^(365/MAX(1,TODAY()-F17))-1)),"")</f>
        <v/>
      </c>
      <c r="O17" s="79">
        <f>IFERROR(K17/SUM($K$4:$K$53),"")</f>
        <v/>
      </c>
      <c r="Q17" s="75">
        <f>IF(ISBLANK(F17), "", IF(TODAY()-F17&gt;365, "LTCG", "STCG"))</f>
        <v/>
      </c>
      <c r="R17" s="75">
        <f>IF(ISBLANK(L17), "", L17+IF(ISNUMBER(P17), P17, 0))</f>
        <v/>
      </c>
    </row>
    <row r="18" ht="16.5" customHeight="1" s="59">
      <c r="A18" s="22" t="inlineStr">
        <is>
          <t>NIFTYBEES</t>
        </is>
      </c>
      <c r="B18" s="30" t="inlineStr">
        <is>
          <t>NSE</t>
        </is>
      </c>
      <c r="C18" s="22" t="n"/>
      <c r="D18" s="24" t="n">
        <v>1</v>
      </c>
      <c r="E18" s="25" t="n">
        <v>251.83</v>
      </c>
      <c r="F18" s="26" t="n"/>
      <c r="G18" s="25" t="n">
        <v>270.63</v>
      </c>
      <c r="H18" s="24" t="n"/>
      <c r="I18" s="24" t="n"/>
      <c r="J18" s="76">
        <f>IFERROR(D18*E18,"")</f>
        <v/>
      </c>
      <c r="K18" s="76">
        <f>IFERROR(D18*G18,"")</f>
        <v/>
      </c>
      <c r="L18" s="76">
        <f>IFERROR(K18-J18,"")</f>
        <v/>
      </c>
      <c r="M18" s="77">
        <f>IFERROR((K18-J18)/J18,"")</f>
        <v/>
      </c>
      <c r="N18" s="77">
        <f>IFERROR(IF(F18="","",((G18/E18)^(365/MAX(1,TODAY()-F18))-1)),"")</f>
        <v/>
      </c>
      <c r="O18" s="77">
        <f>IFERROR(K18/SUM($K$4:$K$53),"")</f>
        <v/>
      </c>
      <c r="Q18" s="75">
        <f>IF(ISBLANK(F18), "", IF(TODAY()-F18&gt;365, "LTCG", "STCG"))</f>
        <v/>
      </c>
      <c r="R18" s="75">
        <f>IF(ISBLANK(L18), "", L18+IF(ISNUMBER(P18), P18, 0))</f>
        <v/>
      </c>
    </row>
    <row r="19" ht="16.5" customHeight="1" s="59">
      <c r="A19" s="29" t="inlineStr">
        <is>
          <t>POWERGRID</t>
        </is>
      </c>
      <c r="B19" s="30" t="inlineStr">
        <is>
          <t>NSE</t>
        </is>
      </c>
      <c r="C19" s="29" t="inlineStr">
        <is>
          <t>Utilities</t>
        </is>
      </c>
      <c r="D19" s="31" t="n">
        <v>2</v>
      </c>
      <c r="E19" s="32" t="n">
        <v>264.21</v>
      </c>
      <c r="F19" s="33" t="n"/>
      <c r="G19" s="32" t="n">
        <v>285.7</v>
      </c>
      <c r="H19" s="31" t="n"/>
      <c r="I19" s="31" t="n"/>
      <c r="J19" s="78">
        <f>IFERROR(D19*E19,"")</f>
        <v/>
      </c>
      <c r="K19" s="78">
        <f>IFERROR(D19*G19,"")</f>
        <v/>
      </c>
      <c r="L19" s="78">
        <f>IFERROR(K19-J19,"")</f>
        <v/>
      </c>
      <c r="M19" s="79">
        <f>IFERROR((K19-J19)/J19,"")</f>
        <v/>
      </c>
      <c r="N19" s="79">
        <f>IFERROR(IF(F19="","",((G19/E19)^(365/MAX(1,TODAY()-F19))-1)),"")</f>
        <v/>
      </c>
      <c r="O19" s="79">
        <f>IFERROR(K19/SUM($K$4:$K$53),"")</f>
        <v/>
      </c>
      <c r="Q19" s="75">
        <f>IF(ISBLANK(F19), "", IF(TODAY()-F19&gt;365, "LTCG", "STCG"))</f>
        <v/>
      </c>
      <c r="R19" s="75">
        <f>IF(ISBLANK(L19), "", L19+IF(ISNUMBER(P19), P19, 0))</f>
        <v/>
      </c>
    </row>
    <row r="20" ht="16.5" customHeight="1" s="59">
      <c r="A20" s="22" t="inlineStr">
        <is>
          <t>RAMASTEEL</t>
        </is>
      </c>
      <c r="B20" s="30" t="inlineStr">
        <is>
          <t>NSE</t>
        </is>
      </c>
      <c r="C20" s="22" t="inlineStr">
        <is>
          <t>Materials</t>
        </is>
      </c>
      <c r="D20" s="24" t="n">
        <v>30</v>
      </c>
      <c r="E20" s="25" t="n">
        <v>12.38</v>
      </c>
      <c r="F20" s="26" t="n"/>
      <c r="G20" s="25" t="n">
        <v>5.24</v>
      </c>
      <c r="H20" s="24" t="n"/>
      <c r="I20" s="24" t="n"/>
      <c r="J20" s="76">
        <f>IFERROR(D20*E20,"")</f>
        <v/>
      </c>
      <c r="K20" s="76">
        <f>IFERROR(D20*G20,"")</f>
        <v/>
      </c>
      <c r="L20" s="76">
        <f>IFERROR(K20-J20,"")</f>
        <v/>
      </c>
      <c r="M20" s="77">
        <f>IFERROR((K20-J20)/J20,"")</f>
        <v/>
      </c>
      <c r="N20" s="77">
        <f>IFERROR(IF(F20="","",((G20/E20)^(365/MAX(1,TODAY()-F20))-1)),"")</f>
        <v/>
      </c>
      <c r="O20" s="77">
        <f>IFERROR(K20/SUM($K$4:$K$53),"")</f>
        <v/>
      </c>
      <c r="Q20" s="75">
        <f>IF(ISBLANK(F20), "", IF(TODAY()-F20&gt;365, "LTCG", "STCG"))</f>
        <v/>
      </c>
      <c r="R20" s="75">
        <f>IF(ISBLANK(L20), "", L20+IF(ISNUMBER(P20), P20, 0))</f>
        <v/>
      </c>
    </row>
    <row r="21" ht="16.5" customHeight="1" s="59">
      <c r="A21" s="29" t="inlineStr">
        <is>
          <t>SAIL</t>
        </is>
      </c>
      <c r="B21" s="30" t="inlineStr">
        <is>
          <t>NSE</t>
        </is>
      </c>
      <c r="C21" s="29" t="inlineStr">
        <is>
          <t>Materials</t>
        </is>
      </c>
      <c r="D21" s="31" t="n">
        <v>10</v>
      </c>
      <c r="E21" s="32" t="n">
        <v>94.15000000000001</v>
      </c>
      <c r="F21" s="33" t="n"/>
      <c r="G21" s="32" t="n">
        <v>182.51</v>
      </c>
      <c r="H21" s="31" t="n"/>
      <c r="I21" s="31" t="n"/>
      <c r="J21" s="78">
        <f>IFERROR(D21*E21,"")</f>
        <v/>
      </c>
      <c r="K21" s="78">
        <f>IFERROR(D21*G21,"")</f>
        <v/>
      </c>
      <c r="L21" s="78">
        <f>IFERROR(K21-J21,"")</f>
        <v/>
      </c>
      <c r="M21" s="79">
        <f>IFERROR((K21-J21)/J21,"")</f>
        <v/>
      </c>
      <c r="N21" s="79">
        <f>IFERROR(IF(F21="","",((G21/E21)^(365/MAX(1,TODAY()-F21))-1)),"")</f>
        <v/>
      </c>
      <c r="O21" s="79">
        <f>IFERROR(K21/SUM($K$4:$K$53),"")</f>
        <v/>
      </c>
      <c r="Q21" s="75">
        <f>IF(ISBLANK(F21), "", IF(TODAY()-F21&gt;365, "LTCG", "STCG"))</f>
        <v/>
      </c>
      <c r="R21" s="75">
        <f>IF(ISBLANK(L21), "", L21+IF(ISNUMBER(P21), P21, 0))</f>
        <v/>
      </c>
    </row>
    <row r="22" ht="16.5" customHeight="1" s="59">
      <c r="A22" s="22" t="inlineStr">
        <is>
          <t>SBIN</t>
        </is>
      </c>
      <c r="B22" s="30" t="inlineStr">
        <is>
          <t>NSE</t>
        </is>
      </c>
      <c r="C22" s="22" t="inlineStr">
        <is>
          <t>Banking &amp; Finance</t>
        </is>
      </c>
      <c r="D22" s="24" t="n">
        <v>2</v>
      </c>
      <c r="E22" s="25" t="n">
        <v>816</v>
      </c>
      <c r="F22" s="26" t="n"/>
      <c r="G22" s="25" t="n">
        <v>1020.85</v>
      </c>
      <c r="H22" s="24" t="n"/>
      <c r="I22" s="24" t="n"/>
      <c r="J22" s="76">
        <f>IFERROR(D22*E22,"")</f>
        <v/>
      </c>
      <c r="K22" s="76">
        <f>IFERROR(D22*G22,"")</f>
        <v/>
      </c>
      <c r="L22" s="76">
        <f>IFERROR(K22-J22,"")</f>
        <v/>
      </c>
      <c r="M22" s="77">
        <f>IFERROR((K22-J22)/J22,"")</f>
        <v/>
      </c>
      <c r="N22" s="77">
        <f>IFERROR(IF(F22="","",((G22/E22)^(365/MAX(1,TODAY()-F22))-1)),"")</f>
        <v/>
      </c>
      <c r="O22" s="77">
        <f>IFERROR(K22/SUM($K$4:$K$53),"")</f>
        <v/>
      </c>
      <c r="Q22" s="75">
        <f>IF(ISBLANK(F22), "", IF(TODAY()-F22&gt;365, "LTCG", "STCG"))</f>
        <v/>
      </c>
      <c r="R22" s="75">
        <f>IF(ISBLANK(L22), "", L22+IF(ISNUMBER(P22), P22, 0))</f>
        <v/>
      </c>
    </row>
    <row r="23" ht="16.5" customHeight="1" s="59">
      <c r="A23" s="29" t="inlineStr">
        <is>
          <t>SERVOTECH</t>
        </is>
      </c>
      <c r="B23" s="30" t="inlineStr">
        <is>
          <t>NSE</t>
        </is>
      </c>
      <c r="C23" s="29" t="inlineStr">
        <is>
          <t>Industrials</t>
        </is>
      </c>
      <c r="D23" s="31" t="n">
        <v>15</v>
      </c>
      <c r="E23" s="32" t="n">
        <v>78.14</v>
      </c>
      <c r="F23" s="33" t="n"/>
      <c r="G23" s="32" t="n">
        <v>103.74</v>
      </c>
      <c r="H23" s="31" t="n"/>
      <c r="I23" s="31" t="n"/>
      <c r="J23" s="78">
        <f>IFERROR(D23*E23,"")</f>
        <v/>
      </c>
      <c r="K23" s="78">
        <f>IFERROR(D23*G23,"")</f>
        <v/>
      </c>
      <c r="L23" s="78">
        <f>IFERROR(K23-J23,"")</f>
        <v/>
      </c>
      <c r="M23" s="79">
        <f>IFERROR((K23-J23)/J23,"")</f>
        <v/>
      </c>
      <c r="N23" s="79">
        <f>IFERROR(IF(F23="","",((G23/E23)^(365/MAX(1,TODAY()-F23))-1)),"")</f>
        <v/>
      </c>
      <c r="O23" s="79">
        <f>IFERROR(K23/SUM($K$4:$K$53),"")</f>
        <v/>
      </c>
      <c r="Q23" s="75">
        <f>IF(ISBLANK(F23), "", IF(TODAY()-F23&gt;365, "LTCG", "STCG"))</f>
        <v/>
      </c>
      <c r="R23" s="75">
        <f>IF(ISBLANK(L23), "", L23+IF(ISNUMBER(P23), P23, 0))</f>
        <v/>
      </c>
    </row>
    <row r="24" ht="16.5" customHeight="1" s="59">
      <c r="A24" s="22" t="inlineStr">
        <is>
          <t>TITAN</t>
        </is>
      </c>
      <c r="B24" s="30" t="inlineStr">
        <is>
          <t>NSE</t>
        </is>
      </c>
      <c r="C24" s="22" t="inlineStr">
        <is>
          <t>Consumer Discretionary</t>
        </is>
      </c>
      <c r="D24" s="24" t="n">
        <v>1</v>
      </c>
      <c r="E24" s="25" t="n">
        <v>2741.16</v>
      </c>
      <c r="F24" s="26" t="n"/>
      <c r="G24" s="25" t="n">
        <v>4283.5</v>
      </c>
      <c r="H24" s="24" t="n"/>
      <c r="I24" s="24" t="n"/>
      <c r="J24" s="76">
        <f>IFERROR(D24*E24,"")</f>
        <v/>
      </c>
      <c r="K24" s="76">
        <f>IFERROR(D24*G24,"")</f>
        <v/>
      </c>
      <c r="L24" s="76">
        <f>IFERROR(K24-J24,"")</f>
        <v/>
      </c>
      <c r="M24" s="77">
        <f>IFERROR((K24-J24)/J24,"")</f>
        <v/>
      </c>
      <c r="N24" s="77">
        <f>IFERROR(IF(F24="","",((G24/E24)^(365/MAX(1,TODAY()-F24))-1)),"")</f>
        <v/>
      </c>
      <c r="O24" s="77">
        <f>IFERROR(K24/SUM($K$4:$K$53),"")</f>
        <v/>
      </c>
      <c r="Q24" s="75">
        <f>IF(ISBLANK(F24), "", IF(TODAY()-F24&gt;365, "LTCG", "STCG"))</f>
        <v/>
      </c>
      <c r="R24" s="75">
        <f>IF(ISBLANK(L24), "", L24+IF(ISNUMBER(P24), P24, 0))</f>
        <v/>
      </c>
    </row>
    <row r="25" ht="16.5" customHeight="1" s="59">
      <c r="A25" s="22" t="inlineStr">
        <is>
          <t>VEDL</t>
        </is>
      </c>
      <c r="B25" s="30" t="inlineStr">
        <is>
          <t>NSE</t>
        </is>
      </c>
      <c r="C25" s="29" t="inlineStr">
        <is>
          <t>Materials</t>
        </is>
      </c>
      <c r="D25" s="31" t="n">
        <v>11</v>
      </c>
      <c r="E25" s="32" t="n">
        <v>230.35</v>
      </c>
      <c r="F25" s="33" t="n"/>
      <c r="G25" s="32" t="n">
        <v>302.5</v>
      </c>
      <c r="H25" s="31" t="n"/>
      <c r="I25" s="31" t="n"/>
      <c r="J25" s="78">
        <f>IFERROR(D25*E25,"")</f>
        <v/>
      </c>
      <c r="K25" s="78">
        <f>IFERROR(D25*G25,"")</f>
        <v/>
      </c>
      <c r="L25" s="78">
        <f>IFERROR(K25-J25,"")</f>
        <v/>
      </c>
      <c r="M25" s="79">
        <f>IFERROR((K25-J25)/J25,"")</f>
        <v/>
      </c>
      <c r="N25" s="79">
        <f>IFERROR(IF(F25="","",((G25/E25)^(365/MAX(1,TODAY()-F25))-1)),"")</f>
        <v/>
      </c>
      <c r="O25" s="79">
        <f>IFERROR(K25/SUM($K$4:$K$53),"")</f>
        <v/>
      </c>
      <c r="Q25" s="75">
        <f>IF(ISBLANK(F25), "", IF(TODAY()-F25&gt;365, "LTCG", "STCG"))</f>
        <v/>
      </c>
      <c r="R25" s="75">
        <f>IF(ISBLANK(L25), "", L25+IF(ISNUMBER(P25), P25, 0))</f>
        <v/>
      </c>
    </row>
    <row r="26" ht="16.5" customHeight="1" s="59">
      <c r="A26" s="29" t="inlineStr">
        <is>
          <t>VIVIDHA</t>
        </is>
      </c>
      <c r="B26" s="30" t="inlineStr">
        <is>
          <t>NSE</t>
        </is>
      </c>
      <c r="C26" s="22" t="inlineStr">
        <is>
          <t>Consumer Discretionary</t>
        </is>
      </c>
      <c r="D26" s="24" t="n">
        <v>1000</v>
      </c>
      <c r="E26" s="25" t="n">
        <v>1.56</v>
      </c>
      <c r="F26" s="26" t="n"/>
      <c r="G26" s="25" t="n">
        <v>0.52</v>
      </c>
      <c r="H26" s="24" t="n"/>
      <c r="I26" s="24" t="n"/>
      <c r="J26" s="76">
        <f>IFERROR(D26*E26,"")</f>
        <v/>
      </c>
      <c r="K26" s="76">
        <f>IFERROR(D26*G26,"")</f>
        <v/>
      </c>
      <c r="L26" s="76">
        <f>IFERROR(K26-J26,"")</f>
        <v/>
      </c>
      <c r="M26" s="77">
        <f>IFERROR((K26-J26)/J26,"")</f>
        <v/>
      </c>
      <c r="N26" s="77">
        <f>IFERROR(IF(F26="","",((G26/E26)^(365/MAX(1,TODAY()-F26))-1)),"")</f>
        <v/>
      </c>
      <c r="O26" s="77">
        <f>IFERROR(K26/SUM($K$4:$K$53),"")</f>
        <v/>
      </c>
      <c r="Q26" s="75">
        <f>IF(ISBLANK(F26), "", IF(TODAY()-F26&gt;365, "LTCG", "STCG"))</f>
        <v/>
      </c>
      <c r="R26" s="75">
        <f>IF(ISBLANK(L26), "", L26+IF(ISNUMBER(P26), P26, 0))</f>
        <v/>
      </c>
    </row>
    <row r="27" ht="16.5" customHeight="1" s="59">
      <c r="A27" s="82" t="inlineStr">
        <is>
          <t>Nippon India LTG</t>
        </is>
      </c>
      <c r="B27" s="83" t="inlineStr">
        <is>
          <t>NSE</t>
        </is>
      </c>
      <c r="C27" s="84" t="inlineStr">
        <is>
          <t>Other</t>
        </is>
      </c>
      <c r="D27" s="85" t="n">
        <v>6</v>
      </c>
      <c r="E27" s="86" t="n">
        <v>25.75</v>
      </c>
      <c r="F27" s="87" t="inlineStr"/>
      <c r="G27" s="86" t="n">
        <v>29.62</v>
      </c>
      <c r="H27" s="31" t="n"/>
      <c r="I27" s="31" t="n"/>
      <c r="J27" s="88">
        <f>D27*E27</f>
        <v/>
      </c>
      <c r="K27" s="88">
        <f>D27*G27</f>
        <v/>
      </c>
      <c r="L27" s="88">
        <f>K27-J27</f>
        <v/>
      </c>
      <c r="M27" s="89">
        <f>IF(J27=0,0,L27/J27)</f>
        <v/>
      </c>
      <c r="N27" s="89">
        <f>IFERROR(IF(F27="","",((G27/E27)^(365/MAX(1,TODAY()-F27))-1)),"")</f>
        <v/>
      </c>
      <c r="O27" s="89">
        <f>IFERROR(K27/SUM($K$4:$K$53),"")</f>
        <v/>
      </c>
      <c r="P27" s="90" t="n">
        <v>0</v>
      </c>
      <c r="Q27" s="91">
        <f>IF(ISBLANK(F27),"",IF(TODAY()-F27&gt;365,"LTCG","STCG"))</f>
        <v/>
      </c>
      <c r="R27" s="90">
        <f>L27+IF(ISNUMBER(P27),P27,0)</f>
        <v/>
      </c>
    </row>
    <row r="28" ht="16.5" customHeight="1" s="59">
      <c r="A28" s="92" t="inlineStr">
        <is>
          <t>VISL</t>
        </is>
      </c>
      <c r="B28" s="83" t="inlineStr">
        <is>
          <t>NSE</t>
        </is>
      </c>
      <c r="C28" s="93" t="inlineStr">
        <is>
          <t>Other</t>
        </is>
      </c>
      <c r="D28" s="94" t="n">
        <v>11</v>
      </c>
      <c r="E28" s="95" t="n">
        <v>15.64</v>
      </c>
      <c r="F28" s="96" t="inlineStr"/>
      <c r="G28" s="95" t="n">
        <v>21.06</v>
      </c>
      <c r="H28" s="24" t="n"/>
      <c r="I28" s="24" t="n"/>
      <c r="J28" s="97">
        <f>D28*E28</f>
        <v/>
      </c>
      <c r="K28" s="97">
        <f>D28*G28</f>
        <v/>
      </c>
      <c r="L28" s="97">
        <f>K28-J28</f>
        <v/>
      </c>
      <c r="M28" s="98">
        <f>IF(J28=0,0,L28/J28)</f>
        <v/>
      </c>
      <c r="N28" s="98">
        <f>IFERROR(IF(F28="","",((G28/E28)^(365/MAX(1,TODAY()-F28))-1)),"")</f>
        <v/>
      </c>
      <c r="O28" s="98">
        <f>IFERROR(K28/SUM($K$4:$K$53),"")</f>
        <v/>
      </c>
      <c r="P28" s="90" t="n">
        <v>0</v>
      </c>
      <c r="Q28" s="91">
        <f>IF(ISBLANK(F28),"",IF(TODAY()-F28&gt;365,"LTCG","STCG"))</f>
        <v/>
      </c>
      <c r="R28" s="90">
        <f>L28+IF(ISNUMBER(P28),P28,0)</f>
        <v/>
      </c>
    </row>
    <row r="29" ht="16.5" customHeight="1" s="59">
      <c r="A29" s="82" t="inlineStr">
        <is>
          <t>VEDPOWER</t>
        </is>
      </c>
      <c r="B29" s="83" t="inlineStr">
        <is>
          <t>NSE</t>
        </is>
      </c>
      <c r="C29" s="84" t="inlineStr">
        <is>
          <t>Other</t>
        </is>
      </c>
      <c r="D29" s="85" t="n">
        <v>11</v>
      </c>
      <c r="E29" s="86" t="n">
        <v>28.17</v>
      </c>
      <c r="F29" s="87" t="inlineStr"/>
      <c r="G29" s="86" t="n">
        <v>40.94</v>
      </c>
      <c r="H29" s="31" t="n"/>
      <c r="I29" s="31" t="n"/>
      <c r="J29" s="88">
        <f>D29*E29</f>
        <v/>
      </c>
      <c r="K29" s="88">
        <f>D29*G29</f>
        <v/>
      </c>
      <c r="L29" s="88">
        <f>K29-J29</f>
        <v/>
      </c>
      <c r="M29" s="89">
        <f>IF(J29=0,0,L29/J29)</f>
        <v/>
      </c>
      <c r="N29" s="89">
        <f>IFERROR(IF(F29="","",((G29/E29)^(365/MAX(1,TODAY()-F29))-1)),"")</f>
        <v/>
      </c>
      <c r="O29" s="89">
        <f>IFERROR(K29/SUM($K$4:$K$53),"")</f>
        <v/>
      </c>
      <c r="P29" s="90" t="n">
        <v>0</v>
      </c>
      <c r="Q29" s="91">
        <f>IF(ISBLANK(F29),"",IF(TODAY()-F29&gt;365,"LTCG","STCG"))</f>
        <v/>
      </c>
      <c r="R29" s="90">
        <f>L29+IF(ISNUMBER(P29),P29,0)</f>
        <v/>
      </c>
    </row>
    <row r="30" ht="16.5" customHeight="1" s="59">
      <c r="A30" s="92" t="inlineStr">
        <is>
          <t>Visagar Polytex</t>
        </is>
      </c>
      <c r="B30" s="83" t="inlineStr">
        <is>
          <t>NSE</t>
        </is>
      </c>
      <c r="C30" s="93" t="inlineStr">
        <is>
          <t>Textile</t>
        </is>
      </c>
      <c r="D30" s="94" t="n">
        <v>1000</v>
      </c>
      <c r="E30" s="95" t="n">
        <v>1.56</v>
      </c>
      <c r="F30" s="96" t="inlineStr"/>
      <c r="G30" s="95" t="n">
        <v>0.52</v>
      </c>
      <c r="H30" s="24" t="n"/>
      <c r="I30" s="24" t="n"/>
      <c r="J30" s="97">
        <f>D30*E30</f>
        <v/>
      </c>
      <c r="K30" s="97">
        <f>D30*G30</f>
        <v/>
      </c>
      <c r="L30" s="97">
        <f>K30-J30</f>
        <v/>
      </c>
      <c r="M30" s="98">
        <f>IF(J30=0,0,L30/J30)</f>
        <v/>
      </c>
      <c r="N30" s="98">
        <f>IFERROR(IF(F30="","",((G30/E30)^(365/MAX(1,TODAY()-F30))-1)),"")</f>
        <v/>
      </c>
      <c r="O30" s="98">
        <f>IFERROR(K30/SUM($K$4:$K$53),"")</f>
        <v/>
      </c>
      <c r="P30" s="90" t="n">
        <v>0</v>
      </c>
      <c r="Q30" s="91">
        <f>IF(ISBLANK(F30),"",IF(TODAY()-F30&gt;365,"LTCG","STCG"))</f>
        <v/>
      </c>
      <c r="R30" s="90">
        <f>L30+IF(ISNUMBER(P30),P30,0)</f>
        <v/>
      </c>
    </row>
    <row r="31" ht="16.5" customHeight="1" s="59">
      <c r="A31" s="82" t="inlineStr">
        <is>
          <t>Power Grid Corpn</t>
        </is>
      </c>
      <c r="B31" s="83" t="inlineStr">
        <is>
          <t>NSE</t>
        </is>
      </c>
      <c r="C31" s="84" t="inlineStr">
        <is>
          <t>Power Generation/Distribution</t>
        </is>
      </c>
      <c r="D31" s="85" t="n">
        <v>2</v>
      </c>
      <c r="E31" s="86" t="n">
        <v>264.21</v>
      </c>
      <c r="F31" s="87" t="inlineStr"/>
      <c r="G31" s="86" t="n">
        <v>285.7</v>
      </c>
      <c r="H31" s="31" t="n"/>
      <c r="I31" s="31" t="n"/>
      <c r="J31" s="88">
        <f>D31*E31</f>
        <v/>
      </c>
      <c r="K31" s="88">
        <f>D31*G31</f>
        <v/>
      </c>
      <c r="L31" s="88">
        <f>K31-J31</f>
        <v/>
      </c>
      <c r="M31" s="89">
        <f>IF(J31=0,0,L31/J31)</f>
        <v/>
      </c>
      <c r="N31" s="89">
        <f>IFERROR(IF(F31="","",((G31/E31)^(365/MAX(1,TODAY()-F31))-1)),"")</f>
        <v/>
      </c>
      <c r="O31" s="89">
        <f>IFERROR(K31/SUM($K$4:$K$53),"")</f>
        <v/>
      </c>
      <c r="P31" s="90" t="n">
        <v>0</v>
      </c>
      <c r="Q31" s="91">
        <f>IF(ISBLANK(F31),"",IF(TODAY()-F31&gt;365,"LTCG","STCG"))</f>
        <v/>
      </c>
      <c r="R31" s="90">
        <f>L31+IF(ISNUMBER(P31),P31,0)</f>
        <v/>
      </c>
    </row>
    <row r="32" ht="16.5" customHeight="1" s="59">
      <c r="A32" s="82" t="inlineStr">
        <is>
          <t>Ashok Leyland</t>
        </is>
      </c>
      <c r="B32" s="83" t="inlineStr">
        <is>
          <t>NSE</t>
        </is>
      </c>
      <c r="C32" s="93" t="inlineStr">
        <is>
          <t>Auto - Trucks</t>
        </is>
      </c>
      <c r="D32" s="94" t="n">
        <v>8</v>
      </c>
      <c r="E32" s="95" t="n">
        <v>120.23</v>
      </c>
      <c r="F32" s="96" t="inlineStr"/>
      <c r="G32" s="95" t="n">
        <v>157.7</v>
      </c>
      <c r="H32" s="24" t="n"/>
      <c r="I32" s="24" t="n"/>
      <c r="J32" s="97">
        <f>D32*E32</f>
        <v/>
      </c>
      <c r="K32" s="97">
        <f>D32*G32</f>
        <v/>
      </c>
      <c r="L32" s="97">
        <f>K32-J32</f>
        <v/>
      </c>
      <c r="M32" s="98">
        <f>IF(J32=0,0,L32/J32)</f>
        <v/>
      </c>
      <c r="N32" s="98">
        <f>IFERROR(IF(F32="","",((G32/E32)^(365/MAX(1,TODAY()-F32))-1)),"")</f>
        <v/>
      </c>
      <c r="O32" s="98">
        <f>IFERROR(K32/SUM($K$4:$K$53),"")</f>
        <v/>
      </c>
      <c r="P32" s="90" t="n">
        <v>0</v>
      </c>
      <c r="Q32" s="91">
        <f>IF(ISBLANK(F32),"",IF(TODAY()-F32&gt;365,"LTCG","STCG"))</f>
        <v/>
      </c>
      <c r="R32" s="90">
        <f>L32+IF(ISNUMBER(P32),P32,0)</f>
        <v/>
      </c>
    </row>
    <row r="33" ht="16.5" customHeight="1" s="59">
      <c r="A33" s="92" t="inlineStr">
        <is>
          <t>Nip. India Nifty</t>
        </is>
      </c>
      <c r="B33" s="83" t="inlineStr">
        <is>
          <t>NSE</t>
        </is>
      </c>
      <c r="C33" s="84" t="inlineStr">
        <is>
          <t>Other</t>
        </is>
      </c>
      <c r="D33" s="85" t="n">
        <v>1</v>
      </c>
      <c r="E33" s="86" t="n">
        <v>251.83</v>
      </c>
      <c r="F33" s="87" t="inlineStr"/>
      <c r="G33" s="86" t="n">
        <v>270.63</v>
      </c>
      <c r="H33" s="31" t="n"/>
      <c r="I33" s="31" t="n"/>
      <c r="J33" s="88">
        <f>D33*E33</f>
        <v/>
      </c>
      <c r="K33" s="88">
        <f>D33*G33</f>
        <v/>
      </c>
      <c r="L33" s="88">
        <f>K33-J33</f>
        <v/>
      </c>
      <c r="M33" s="89">
        <f>IF(J33=0,0,L33/J33)</f>
        <v/>
      </c>
      <c r="N33" s="89">
        <f>IFERROR(IF(F33="","",((G33/E33)^(365/MAX(1,TODAY()-F33))-1)),"")</f>
        <v/>
      </c>
      <c r="O33" s="89">
        <f>IFERROR(K33/SUM($K$4:$K$53),"")</f>
        <v/>
      </c>
      <c r="P33" s="90" t="n">
        <v>0</v>
      </c>
      <c r="Q33" s="91">
        <f>IF(ISBLANK(F33),"",IF(TODAY()-F33&gt;365,"LTCG","STCG"))</f>
        <v/>
      </c>
      <c r="R33" s="90">
        <f>L33+IF(ISNUMBER(P33),P33,0)</f>
        <v/>
      </c>
    </row>
    <row r="34" ht="16.5" customHeight="1" s="59">
      <c r="A34" s="82" t="inlineStr">
        <is>
          <t>HYUNDAI</t>
        </is>
      </c>
      <c r="B34" s="83" t="inlineStr">
        <is>
          <t>NSE</t>
        </is>
      </c>
      <c r="C34" s="93" t="inlineStr">
        <is>
          <t>Automobiles - Passenger Cars</t>
        </is>
      </c>
      <c r="D34" s="94" t="n">
        <v>7</v>
      </c>
      <c r="E34" s="95" t="n">
        <v>1960</v>
      </c>
      <c r="F34" s="96" t="inlineStr"/>
      <c r="G34" s="95" t="n">
        <v>2030.1</v>
      </c>
      <c r="H34" s="24" t="n"/>
      <c r="I34" s="24" t="n"/>
      <c r="J34" s="97">
        <f>D34*E34</f>
        <v/>
      </c>
      <c r="K34" s="97">
        <f>D34*G34</f>
        <v/>
      </c>
      <c r="L34" s="97">
        <f>K34-J34</f>
        <v/>
      </c>
      <c r="M34" s="98">
        <f>IF(J34=0,0,L34/J34)</f>
        <v/>
      </c>
      <c r="N34" s="98">
        <f>IFERROR(IF(F34="","",((G34/E34)^(365/MAX(1,TODAY()-F34))-1)),"")</f>
        <v/>
      </c>
      <c r="O34" s="98">
        <f>IFERROR(K34/SUM($K$4:$K$53),"")</f>
        <v/>
      </c>
      <c r="P34" s="90" t="n">
        <v>0</v>
      </c>
      <c r="Q34" s="91">
        <f>IF(ISBLANK(F34),"",IF(TODAY()-F34&gt;365,"LTCG","STCG"))</f>
        <v/>
      </c>
      <c r="R34" s="90">
        <f>L34+IF(ISNUMBER(P34),P34,0)</f>
        <v/>
      </c>
    </row>
    <row r="35" ht="16.5" customHeight="1" s="59">
      <c r="A35" s="92" t="inlineStr">
        <is>
          <t>Titan Company</t>
        </is>
      </c>
      <c r="B35" s="83" t="inlineStr">
        <is>
          <t>NSE</t>
        </is>
      </c>
      <c r="C35" s="84" t="inlineStr">
        <is>
          <t>Diamond  &amp; Gold  Jewellery</t>
        </is>
      </c>
      <c r="D35" s="85" t="n">
        <v>1</v>
      </c>
      <c r="E35" s="86" t="n">
        <v>2741.16</v>
      </c>
      <c r="F35" s="87" t="inlineStr"/>
      <c r="G35" s="86" t="n">
        <v>4283.5</v>
      </c>
      <c r="H35" s="31" t="n"/>
      <c r="I35" s="31" t="n"/>
      <c r="J35" s="88">
        <f>D35*E35</f>
        <v/>
      </c>
      <c r="K35" s="88">
        <f>D35*G35</f>
        <v/>
      </c>
      <c r="L35" s="88">
        <f>K35-J35</f>
        <v/>
      </c>
      <c r="M35" s="89">
        <f>IF(J35=0,0,L35/J35)</f>
        <v/>
      </c>
      <c r="N35" s="89">
        <f>IFERROR(IF(F35="","",((G35/E35)^(365/MAX(1,TODAY()-F35))-1)),"")</f>
        <v/>
      </c>
      <c r="O35" s="89">
        <f>IFERROR(K35/SUM($K$4:$K$53),"")</f>
        <v/>
      </c>
      <c r="P35" s="90" t="n">
        <v>0</v>
      </c>
      <c r="Q35" s="91">
        <f>IF(ISBLANK(F35),"",IF(TODAY()-F35&gt;365,"LTCG","STCG"))</f>
        <v/>
      </c>
      <c r="R35" s="90">
        <f>L35+IF(ISNUMBER(P35),P35,0)</f>
        <v/>
      </c>
    </row>
    <row r="36" ht="16.5" customHeight="1" s="59">
      <c r="A36" s="82" t="inlineStr">
        <is>
          <t>S A I L</t>
        </is>
      </c>
      <c r="B36" s="83" t="inlineStr">
        <is>
          <t>NSE</t>
        </is>
      </c>
      <c r="C36" s="93" t="inlineStr">
        <is>
          <t>Steel/Sponge Iron/Pig Iron</t>
        </is>
      </c>
      <c r="D36" s="94" t="n">
        <v>10</v>
      </c>
      <c r="E36" s="95" t="n">
        <v>94.15000000000001</v>
      </c>
      <c r="F36" s="96" t="inlineStr"/>
      <c r="G36" s="95" t="n">
        <v>340.75</v>
      </c>
      <c r="H36" s="24" t="n"/>
      <c r="I36" s="24" t="n"/>
      <c r="J36" s="97">
        <f>D36*E36</f>
        <v/>
      </c>
      <c r="K36" s="97">
        <f>D36*G36</f>
        <v/>
      </c>
      <c r="L36" s="97">
        <f>K36-J36</f>
        <v/>
      </c>
      <c r="M36" s="98">
        <f>IF(J36=0,0,L36/J36)</f>
        <v/>
      </c>
      <c r="N36" s="98">
        <f>IFERROR(IF(F36="","",((G36/E36)^(365/MAX(1,TODAY()-F36))-1)),"")</f>
        <v/>
      </c>
      <c r="O36" s="98">
        <f>IFERROR(K36/SUM($K$4:$K$53),"")</f>
        <v/>
      </c>
      <c r="P36" s="90" t="n">
        <v>0</v>
      </c>
      <c r="Q36" s="91">
        <f>IF(ISBLANK(F36),"",IF(TODAY()-F36&gt;365,"LTCG","STCG"))</f>
        <v/>
      </c>
      <c r="R36" s="90">
        <f>L36+IF(ISNUMBER(P36),P36,0)</f>
        <v/>
      </c>
    </row>
    <row r="37" ht="16.5" customHeight="1" s="59">
      <c r="A37" s="92" t="inlineStr">
        <is>
          <t>NHPC Ltd</t>
        </is>
      </c>
      <c r="B37" s="83" t="inlineStr">
        <is>
          <t>NSE</t>
        </is>
      </c>
      <c r="C37" s="84" t="inlineStr">
        <is>
          <t>Power Generation/Distribution</t>
        </is>
      </c>
      <c r="D37" s="85" t="n">
        <v>10</v>
      </c>
      <c r="E37" s="86" t="n">
        <v>85.59999999999999</v>
      </c>
      <c r="F37" s="87" t="inlineStr"/>
      <c r="G37" s="86" t="n">
        <v>74.69</v>
      </c>
      <c r="H37" s="31" t="n"/>
      <c r="I37" s="31" t="n"/>
      <c r="J37" s="88">
        <f>D37*E37</f>
        <v/>
      </c>
      <c r="K37" s="88">
        <f>D37*G37</f>
        <v/>
      </c>
      <c r="L37" s="88">
        <f>K37-J37</f>
        <v/>
      </c>
      <c r="M37" s="89">
        <f>IF(J37=0,0,L37/J37)</f>
        <v/>
      </c>
      <c r="N37" s="89">
        <f>IFERROR(IF(F37="","",((G37/E37)^(365/MAX(1,TODAY()-F37))-1)),"")</f>
        <v/>
      </c>
      <c r="O37" s="89">
        <f>IFERROR(K37/SUM($K$4:$K$53),"")</f>
        <v/>
      </c>
      <c r="P37" s="90" t="n">
        <v>0</v>
      </c>
      <c r="Q37" s="91">
        <f>IF(ISBLANK(F37),"",IF(TODAY()-F37&gt;365,"LTCG","STCG"))</f>
        <v/>
      </c>
      <c r="R37" s="90">
        <f>L37+IF(ISNUMBER(P37),P37,0)</f>
        <v/>
      </c>
    </row>
    <row r="38" ht="16.5" customHeight="1" s="59">
      <c r="A38" s="82" t="inlineStr">
        <is>
          <t>Vodafone Idea</t>
        </is>
      </c>
      <c r="B38" s="83" t="inlineStr">
        <is>
          <t>NSE</t>
        </is>
      </c>
      <c r="C38" s="93" t="inlineStr">
        <is>
          <t>Telecommunication - Service  Provider</t>
        </is>
      </c>
      <c r="D38" s="94" t="n">
        <v>700</v>
      </c>
      <c r="E38" s="95" t="n">
        <v>11</v>
      </c>
      <c r="F38" s="96" t="inlineStr"/>
      <c r="G38" s="95" t="n">
        <v>14.95</v>
      </c>
      <c r="H38" s="24" t="n"/>
      <c r="I38" s="24" t="n"/>
      <c r="J38" s="97">
        <f>D38*E38</f>
        <v/>
      </c>
      <c r="K38" s="97">
        <f>D38*G38</f>
        <v/>
      </c>
      <c r="L38" s="97">
        <f>K38-J38</f>
        <v/>
      </c>
      <c r="M38" s="98">
        <f>IF(J38=0,0,L38/J38)</f>
        <v/>
      </c>
      <c r="N38" s="98">
        <f>IFERROR(IF(F38="","",((G38/E38)^(365/MAX(1,TODAY()-F38))-1)),"")</f>
        <v/>
      </c>
      <c r="O38" s="98">
        <f>IFERROR(K38/SUM($K$4:$K$53),"")</f>
        <v/>
      </c>
      <c r="P38" s="90" t="n">
        <v>0</v>
      </c>
      <c r="Q38" s="91">
        <f>IF(ISBLANK(F38),"",IF(TODAY()-F38&gt;365,"LTCG","STCG"))</f>
        <v/>
      </c>
      <c r="R38" s="90">
        <f>L38+IF(ISNUMBER(P38),P38,0)</f>
        <v/>
      </c>
    </row>
    <row r="39" ht="16.5" customHeight="1" s="59">
      <c r="A39" s="92" t="inlineStr">
        <is>
          <t>St Bk of India</t>
        </is>
      </c>
      <c r="B39" s="83" t="inlineStr">
        <is>
          <t>NSE</t>
        </is>
      </c>
      <c r="C39" s="84" t="inlineStr">
        <is>
          <t>Bank - Public</t>
        </is>
      </c>
      <c r="D39" s="85" t="n">
        <v>2</v>
      </c>
      <c r="E39" s="86" t="n">
        <v>816</v>
      </c>
      <c r="F39" s="87" t="inlineStr"/>
      <c r="G39" s="86" t="n">
        <v>1020.85</v>
      </c>
      <c r="H39" s="31" t="n"/>
      <c r="I39" s="31" t="n"/>
      <c r="J39" s="88">
        <f>D39*E39</f>
        <v/>
      </c>
      <c r="K39" s="88">
        <f>D39*G39</f>
        <v/>
      </c>
      <c r="L39" s="88">
        <f>K39-J39</f>
        <v/>
      </c>
      <c r="M39" s="89">
        <f>IF(J39=0,0,L39/J39)</f>
        <v/>
      </c>
      <c r="N39" s="89">
        <f>IFERROR(IF(F39="","",((G39/E39)^(365/MAX(1,TODAY()-F39))-1)),"")</f>
        <v/>
      </c>
      <c r="O39" s="89">
        <f>IFERROR(K39/SUM($K$4:$K$53),"")</f>
        <v/>
      </c>
      <c r="P39" s="90" t="n">
        <v>0</v>
      </c>
      <c r="Q39" s="91">
        <f>IF(ISBLANK(F39),"",IF(TODAY()-F39&gt;365,"LTCG","STCG"))</f>
        <v/>
      </c>
      <c r="R39" s="90">
        <f>L39+IF(ISNUMBER(P39),P39,0)</f>
        <v/>
      </c>
    </row>
    <row r="40" ht="16.5" customHeight="1" s="59">
      <c r="A40" s="99" t="inlineStr">
        <is>
          <t>A R C Finance</t>
        </is>
      </c>
      <c r="B40" s="93" t="inlineStr">
        <is>
          <t>NSE</t>
        </is>
      </c>
      <c r="C40" s="93" t="inlineStr">
        <is>
          <t>Finance/NBFC</t>
        </is>
      </c>
      <c r="D40" s="94" t="n">
        <v>1800</v>
      </c>
      <c r="E40" s="95" t="n">
        <v>0.93</v>
      </c>
      <c r="F40" s="96" t="inlineStr"/>
      <c r="G40" s="95" t="n">
        <v>0.5600000000000001</v>
      </c>
      <c r="H40" s="24" t="n"/>
      <c r="I40" s="24" t="n"/>
      <c r="J40" s="97">
        <f>D40*E40</f>
        <v/>
      </c>
      <c r="K40" s="97">
        <f>D40*G40</f>
        <v/>
      </c>
      <c r="L40" s="97">
        <f>K40-J40</f>
        <v/>
      </c>
      <c r="M40" s="98">
        <f>IF(J40=0,0,L40/J40)</f>
        <v/>
      </c>
      <c r="N40" s="98">
        <f>IFERROR(IF(F40="","",((G40/E40)^(365/MAX(1,TODAY()-F40))-1)),"")</f>
        <v/>
      </c>
      <c r="O40" s="98">
        <f>IFERROR(K40/SUM($K$4:$K$53),"")</f>
        <v/>
      </c>
      <c r="P40" s="90" t="n">
        <v>0</v>
      </c>
      <c r="Q40" s="91">
        <f>IF(ISBLANK(F40),"",IF(TODAY()-F40&gt;365,"LTCG","STCG"))</f>
        <v/>
      </c>
      <c r="R40" s="90">
        <f>L40+IF(ISNUMBER(P40),P40,0)</f>
        <v/>
      </c>
    </row>
    <row r="41" ht="16.5" customHeight="1" s="59">
      <c r="A41" s="92" t="inlineStr">
        <is>
          <t>Servotech Power</t>
        </is>
      </c>
      <c r="B41" s="84" t="inlineStr">
        <is>
          <t>NSE</t>
        </is>
      </c>
      <c r="C41" s="84" t="inlineStr">
        <is>
          <t>Electric Equipment</t>
        </is>
      </c>
      <c r="D41" s="85" t="n">
        <v>15</v>
      </c>
      <c r="E41" s="86" t="n">
        <v>78.14</v>
      </c>
      <c r="F41" s="87" t="inlineStr"/>
      <c r="G41" s="86" t="n">
        <v>103.74</v>
      </c>
      <c r="H41" s="31" t="n"/>
      <c r="I41" s="31" t="n"/>
      <c r="J41" s="88">
        <f>D41*E41</f>
        <v/>
      </c>
      <c r="K41" s="88">
        <f>D41*G41</f>
        <v/>
      </c>
      <c r="L41" s="88">
        <f>K41-J41</f>
        <v/>
      </c>
      <c r="M41" s="89">
        <f>IF(J41=0,0,L41/J41)</f>
        <v/>
      </c>
      <c r="N41" s="89">
        <f>IFERROR(IF(F41="","",((G41/E41)^(365/MAX(1,TODAY()-F41))-1)),"")</f>
        <v/>
      </c>
      <c r="O41" s="89">
        <f>IFERROR(K41/SUM($K$4:$K$53),"")</f>
        <v/>
      </c>
      <c r="P41" s="90" t="n">
        <v>0</v>
      </c>
      <c r="Q41" s="91">
        <f>IF(ISBLANK(F41),"",IF(TODAY()-F41&gt;365,"LTCG","STCG"))</f>
        <v/>
      </c>
      <c r="R41" s="90">
        <f>L41+IF(ISNUMBER(P41),P41,0)</f>
        <v/>
      </c>
    </row>
    <row r="42" ht="16.5" customHeight="1" s="59">
      <c r="A42" s="82" t="inlineStr">
        <is>
          <t>Nippon India NM</t>
        </is>
      </c>
      <c r="B42" s="93" t="inlineStr">
        <is>
          <t>NSE</t>
        </is>
      </c>
      <c r="C42" s="93" t="inlineStr">
        <is>
          <t>Other</t>
        </is>
      </c>
      <c r="D42" s="94" t="n">
        <v>1</v>
      </c>
      <c r="E42" s="95" t="n">
        <v>203.35</v>
      </c>
      <c r="F42" s="96" t="inlineStr"/>
      <c r="G42" s="95" t="n">
        <v>233.69</v>
      </c>
      <c r="H42" s="24" t="n"/>
      <c r="I42" s="24" t="n"/>
      <c r="J42" s="97">
        <f>D42*E42</f>
        <v/>
      </c>
      <c r="K42" s="97">
        <f>D42*G42</f>
        <v/>
      </c>
      <c r="L42" s="97">
        <f>K42-J42</f>
        <v/>
      </c>
      <c r="M42" s="98">
        <f>IF(J42=0,0,L42/J42)</f>
        <v/>
      </c>
      <c r="N42" s="98">
        <f>IFERROR(IF(F42="","",((G42/E42)^(365/MAX(1,TODAY()-F42))-1)),"")</f>
        <v/>
      </c>
      <c r="O42" s="98">
        <f>IFERROR(K42/SUM($K$4:$K$53),"")</f>
        <v/>
      </c>
      <c r="P42" s="90" t="n">
        <v>0</v>
      </c>
      <c r="Q42" s="91">
        <f>IF(ISBLANK(F42),"",IF(TODAY()-F42&gt;365,"LTCG","STCG"))</f>
        <v/>
      </c>
      <c r="R42" s="90">
        <f>L42+IF(ISNUMBER(P42),P42,0)</f>
        <v/>
      </c>
    </row>
    <row r="43" ht="16.5" customHeight="1" s="59">
      <c r="A43" s="92" t="inlineStr">
        <is>
          <t>I R F C</t>
        </is>
      </c>
      <c r="B43" s="84" t="inlineStr">
        <is>
          <t>NSE</t>
        </is>
      </c>
      <c r="C43" s="84" t="inlineStr">
        <is>
          <t>Finance/NBFC</t>
        </is>
      </c>
      <c r="D43" s="85" t="n">
        <v>10</v>
      </c>
      <c r="E43" s="86" t="n">
        <v>77.15000000000001</v>
      </c>
      <c r="F43" s="87" t="inlineStr"/>
      <c r="G43" s="86" t="n">
        <v>97.08</v>
      </c>
      <c r="H43" s="31" t="n"/>
      <c r="I43" s="31" t="n"/>
      <c r="J43" s="88">
        <f>D43*E43</f>
        <v/>
      </c>
      <c r="K43" s="88">
        <f>D43*G43</f>
        <v/>
      </c>
      <c r="L43" s="88">
        <f>K43-J43</f>
        <v/>
      </c>
      <c r="M43" s="89">
        <f>IF(J43=0,0,L43/J43)</f>
        <v/>
      </c>
      <c r="N43" s="89">
        <f>IFERROR(IF(F43="","",((G43/E43)^(365/MAX(1,TODAY()-F43))-1)),"")</f>
        <v/>
      </c>
      <c r="O43" s="89">
        <f>IFERROR(K43/SUM($K$4:$K$53),"")</f>
        <v/>
      </c>
      <c r="P43" s="90" t="n">
        <v>0</v>
      </c>
      <c r="Q43" s="91">
        <f>IF(ISBLANK(F43),"",IF(TODAY()-F43&gt;365,"LTCG","STCG"))</f>
        <v/>
      </c>
      <c r="R43" s="90">
        <f>L43+IF(ISNUMBER(P43),P43,0)</f>
        <v/>
      </c>
    </row>
    <row r="44" ht="16.5" customHeight="1" s="59">
      <c r="A44" s="82" t="inlineStr">
        <is>
          <t>NASDAQ 100</t>
        </is>
      </c>
      <c r="B44" s="93" t="inlineStr">
        <is>
          <t>NSE</t>
        </is>
      </c>
      <c r="C44" s="93" t="inlineStr">
        <is>
          <t>Other</t>
        </is>
      </c>
      <c r="D44" s="94" t="n">
        <v>2</v>
      </c>
      <c r="E44" s="95" t="n">
        <v>145.1</v>
      </c>
      <c r="F44" s="96" t="inlineStr"/>
      <c r="G44" s="95" t="n">
        <v>330.19</v>
      </c>
      <c r="H44" s="24" t="n"/>
      <c r="I44" s="24" t="n"/>
      <c r="J44" s="97">
        <f>D44*E44</f>
        <v/>
      </c>
      <c r="K44" s="97">
        <f>D44*G44</f>
        <v/>
      </c>
      <c r="L44" s="97">
        <f>K44-J44</f>
        <v/>
      </c>
      <c r="M44" s="98">
        <f>IF(J44=0,0,L44/J44)</f>
        <v/>
      </c>
      <c r="N44" s="98">
        <f>IFERROR(IF(F44="","",((G44/E44)^(365/MAX(1,TODAY()-F44))-1)),"")</f>
        <v/>
      </c>
      <c r="O44" s="98">
        <f>IFERROR(K44/SUM($K$4:$K$53),"")</f>
        <v/>
      </c>
      <c r="P44" s="90" t="n">
        <v>0</v>
      </c>
      <c r="Q44" s="91">
        <f>IF(ISBLANK(F44),"",IF(TODAY()-F44&gt;365,"LTCG","STCG"))</f>
        <v/>
      </c>
      <c r="R44" s="90">
        <f>L44+IF(ISNUMBER(P44),P44,0)</f>
        <v/>
      </c>
    </row>
    <row r="45" ht="16.5" customHeight="1" s="59">
      <c r="A45" s="92" t="inlineStr">
        <is>
          <t>Vedanta</t>
        </is>
      </c>
      <c r="B45" s="84" t="inlineStr">
        <is>
          <t>NSE</t>
        </is>
      </c>
      <c r="C45" s="84" t="inlineStr">
        <is>
          <t>Metal - Non Ferrous</t>
        </is>
      </c>
      <c r="D45" s="85" t="n">
        <v>11</v>
      </c>
      <c r="E45" s="86" t="n">
        <v>120.57</v>
      </c>
      <c r="F45" s="87" t="inlineStr"/>
      <c r="G45" s="86" t="n">
        <v>302.5</v>
      </c>
      <c r="H45" s="31" t="n"/>
      <c r="I45" s="31" t="n"/>
      <c r="J45" s="88">
        <f>D45*E45</f>
        <v/>
      </c>
      <c r="K45" s="88">
        <f>D45*G45</f>
        <v/>
      </c>
      <c r="L45" s="88">
        <f>K45-J45</f>
        <v/>
      </c>
      <c r="M45" s="89">
        <f>IF(J45=0,0,L45/J45)</f>
        <v/>
      </c>
      <c r="N45" s="89">
        <f>IFERROR(IF(F45="","",((G45/E45)^(365/MAX(1,TODAY()-F45))-1)),"")</f>
        <v/>
      </c>
      <c r="O45" s="89">
        <f>IFERROR(K45/SUM($K$4:$K$53),"")</f>
        <v/>
      </c>
      <c r="P45" s="90" t="n">
        <v>0</v>
      </c>
      <c r="Q45" s="91">
        <f>IF(ISBLANK(F45),"",IF(TODAY()-F45&gt;365,"LTCG","STCG"))</f>
        <v/>
      </c>
      <c r="R45" s="90">
        <f>L45+IF(ISNUMBER(P45),P45,0)</f>
        <v/>
      </c>
    </row>
    <row r="46" ht="16.5" customHeight="1" s="59">
      <c r="A46" s="82" t="inlineStr">
        <is>
          <t>Coal India</t>
        </is>
      </c>
      <c r="B46" s="93" t="inlineStr">
        <is>
          <t>NSE</t>
        </is>
      </c>
      <c r="C46" s="93" t="inlineStr">
        <is>
          <t>Mining &amp; Minerals</t>
        </is>
      </c>
      <c r="D46" s="94" t="n">
        <v>10</v>
      </c>
      <c r="E46" s="95" t="n">
        <v>305.41</v>
      </c>
      <c r="F46" s="96" t="inlineStr"/>
      <c r="G46" s="95" t="n">
        <v>444.05</v>
      </c>
      <c r="H46" s="24" t="n"/>
      <c r="I46" s="24" t="n"/>
      <c r="J46" s="97">
        <f>D46*E46</f>
        <v/>
      </c>
      <c r="K46" s="97">
        <f>D46*G46</f>
        <v/>
      </c>
      <c r="L46" s="97">
        <f>K46-J46</f>
        <v/>
      </c>
      <c r="M46" s="98">
        <f>IF(J46=0,0,L46/J46)</f>
        <v/>
      </c>
      <c r="N46" s="98">
        <f>IFERROR(IF(F46="","",((G46/E46)^(365/MAX(1,TODAY()-F46))-1)),"")</f>
        <v/>
      </c>
      <c r="O46" s="98">
        <f>IFERROR(K46/SUM($K$4:$K$53),"")</f>
        <v/>
      </c>
      <c r="P46" s="90" t="n">
        <v>0</v>
      </c>
      <c r="Q46" s="91">
        <f>IF(ISBLANK(F46),"",IF(TODAY()-F46&gt;365,"LTCG","STCG"))</f>
        <v/>
      </c>
      <c r="R46" s="90">
        <f>L46+IF(ISNUMBER(P46),P46,0)</f>
        <v/>
      </c>
    </row>
    <row r="47" ht="16.5" customHeight="1" s="59">
      <c r="A47" s="92" t="inlineStr">
        <is>
          <t>Nip. India Gold</t>
        </is>
      </c>
      <c r="B47" s="84" t="inlineStr">
        <is>
          <t>NSE</t>
        </is>
      </c>
      <c r="C47" s="84" t="inlineStr">
        <is>
          <t>Other</t>
        </is>
      </c>
      <c r="D47" s="85" t="n">
        <v>10</v>
      </c>
      <c r="E47" s="86" t="n">
        <v>60.71</v>
      </c>
      <c r="F47" s="87" t="inlineStr"/>
      <c r="G47" s="86" t="n">
        <v>124.11</v>
      </c>
      <c r="H47" s="31" t="n"/>
      <c r="I47" s="31" t="n"/>
      <c r="J47" s="88">
        <f>D47*E47</f>
        <v/>
      </c>
      <c r="K47" s="88">
        <f>D47*G47</f>
        <v/>
      </c>
      <c r="L47" s="88">
        <f>K47-J47</f>
        <v/>
      </c>
      <c r="M47" s="89">
        <f>IF(J47=0,0,L47/J47)</f>
        <v/>
      </c>
      <c r="N47" s="89">
        <f>IFERROR(IF(F47="","",((G47/E47)^(365/MAX(1,TODAY()-F47))-1)),"")</f>
        <v/>
      </c>
      <c r="O47" s="89">
        <f>IFERROR(K47/SUM($K$4:$K$53),"")</f>
        <v/>
      </c>
      <c r="P47" s="90" t="n">
        <v>0</v>
      </c>
      <c r="Q47" s="91">
        <f>IF(ISBLANK(F47),"",IF(TODAY()-F47&gt;365,"LTCG","STCG"))</f>
        <v/>
      </c>
      <c r="R47" s="90">
        <f>L47+IF(ISNUMBER(P47),P47,0)</f>
        <v/>
      </c>
    </row>
    <row r="48" ht="16.5" customHeight="1" s="59">
      <c r="A48" s="82" t="inlineStr">
        <is>
          <t>VAML</t>
        </is>
      </c>
      <c r="B48" s="93" t="inlineStr">
        <is>
          <t>NSE</t>
        </is>
      </c>
      <c r="C48" s="93" t="inlineStr">
        <is>
          <t>Other</t>
        </is>
      </c>
      <c r="D48" s="94" t="n">
        <v>11</v>
      </c>
      <c r="E48" s="95" t="n">
        <v>16.47</v>
      </c>
      <c r="F48" s="96" t="inlineStr"/>
      <c r="G48" s="95" t="n">
        <v>495.9</v>
      </c>
      <c r="H48" s="24" t="n"/>
      <c r="I48" s="24" t="n"/>
      <c r="J48" s="97">
        <f>D48*E48</f>
        <v/>
      </c>
      <c r="K48" s="97">
        <f>D48*G48</f>
        <v/>
      </c>
      <c r="L48" s="97">
        <f>K48-J48</f>
        <v/>
      </c>
      <c r="M48" s="98">
        <f>IF(J48=0,0,L48/J48)</f>
        <v/>
      </c>
      <c r="N48" s="98">
        <f>IFERROR(IF(F48="","",((G48/E48)^(365/MAX(1,TODAY()-F48))-1)),"")</f>
        <v/>
      </c>
      <c r="O48" s="98">
        <f>IFERROR(K48/SUM($K$4:$K$53),"")</f>
        <v/>
      </c>
      <c r="P48" s="90" t="n">
        <v>0</v>
      </c>
      <c r="Q48" s="91">
        <f>IF(ISBLANK(F48),"",IF(TODAY()-F48&gt;365,"LTCG","STCG"))</f>
        <v/>
      </c>
      <c r="R48" s="90">
        <f>L48+IF(ISNUMBER(P48),P48,0)</f>
        <v/>
      </c>
    </row>
    <row r="49" ht="16.5" customHeight="1" s="59">
      <c r="A49" s="92" t="inlineStr">
        <is>
          <t>CPSE ETF*</t>
        </is>
      </c>
      <c r="B49" s="84" t="inlineStr">
        <is>
          <t>NSE</t>
        </is>
      </c>
      <c r="C49" s="84" t="inlineStr">
        <is>
          <t>Other</t>
        </is>
      </c>
      <c r="D49" s="85" t="n">
        <v>1</v>
      </c>
      <c r="E49" s="86" t="n">
        <v>88.45</v>
      </c>
      <c r="F49" s="87" t="inlineStr"/>
      <c r="G49" s="86" t="n">
        <v>96.95</v>
      </c>
      <c r="H49" s="31" t="n"/>
      <c r="I49" s="31" t="n"/>
      <c r="J49" s="88">
        <f>D49*E49</f>
        <v/>
      </c>
      <c r="K49" s="88">
        <f>D49*G49</f>
        <v/>
      </c>
      <c r="L49" s="88">
        <f>K49-J49</f>
        <v/>
      </c>
      <c r="M49" s="89">
        <f>IF(J49=0,0,L49/J49)</f>
        <v/>
      </c>
      <c r="N49" s="89">
        <f>IFERROR(IF(F49="","",((G49/E49)^(365/MAX(1,TODAY()-F49))-1)),"")</f>
        <v/>
      </c>
      <c r="O49" s="89">
        <f>IFERROR(K49/SUM($K$4:$K$53),"")</f>
        <v/>
      </c>
      <c r="P49" s="90" t="n">
        <v>0</v>
      </c>
      <c r="Q49" s="91">
        <f>IF(ISBLANK(F49),"",IF(TODAY()-F49&gt;365,"LTCG","STCG"))</f>
        <v/>
      </c>
      <c r="R49" s="90">
        <f>L49+IF(ISNUMBER(P49),P49,0)</f>
        <v/>
      </c>
    </row>
    <row r="50" ht="16.5" customHeight="1" s="59">
      <c r="A50" s="82" t="inlineStr">
        <is>
          <t>HDFC Bank</t>
        </is>
      </c>
      <c r="B50" s="93" t="inlineStr">
        <is>
          <t>NSE</t>
        </is>
      </c>
      <c r="C50" s="93" t="inlineStr">
        <is>
          <t>Bank - Private</t>
        </is>
      </c>
      <c r="D50" s="94" t="n">
        <v>2</v>
      </c>
      <c r="E50" s="95" t="n">
        <v>755.08</v>
      </c>
      <c r="F50" s="96" t="inlineStr"/>
      <c r="G50" s="95" t="n">
        <v>777.25</v>
      </c>
      <c r="H50" s="24" t="n"/>
      <c r="I50" s="24" t="n"/>
      <c r="J50" s="97">
        <f>D50*E50</f>
        <v/>
      </c>
      <c r="K50" s="97">
        <f>D50*G50</f>
        <v/>
      </c>
      <c r="L50" s="97">
        <f>K50-J50</f>
        <v/>
      </c>
      <c r="M50" s="98">
        <f>IF(J50=0,0,L50/J50)</f>
        <v/>
      </c>
      <c r="N50" s="98">
        <f>IFERROR(IF(F50="","",((G50/E50)^(365/MAX(1,TODAY()-F50))-1)),"")</f>
        <v/>
      </c>
      <c r="O50" s="98">
        <f>IFERROR(K50/SUM($K$4:$K$53),"")</f>
        <v/>
      </c>
      <c r="P50" s="90" t="n">
        <v>0</v>
      </c>
      <c r="Q50" s="91">
        <f>IF(ISBLANK(F50),"",IF(TODAY()-F50&gt;365,"LTCG","STCG"))</f>
        <v/>
      </c>
      <c r="R50" s="90">
        <f>L50+IF(ISNUMBER(P50),P50,0)</f>
        <v/>
      </c>
    </row>
    <row r="51" ht="16.5" customHeight="1" s="59">
      <c r="A51" s="92" t="inlineStr">
        <is>
          <t>VOGL</t>
        </is>
      </c>
      <c r="B51" s="84" t="inlineStr">
        <is>
          <t>NSE</t>
        </is>
      </c>
      <c r="C51" s="84" t="inlineStr">
        <is>
          <t>Other</t>
        </is>
      </c>
      <c r="D51" s="85" t="n">
        <v>11</v>
      </c>
      <c r="E51" s="86" t="n">
        <v>49.5</v>
      </c>
      <c r="F51" s="87" t="inlineStr"/>
      <c r="G51" s="86" t="n">
        <v>36.1</v>
      </c>
      <c r="H51" s="31" t="n"/>
      <c r="I51" s="31" t="n"/>
      <c r="J51" s="88">
        <f>D51*E51</f>
        <v/>
      </c>
      <c r="K51" s="88">
        <f>D51*G51</f>
        <v/>
      </c>
      <c r="L51" s="88">
        <f>K51-J51</f>
        <v/>
      </c>
      <c r="M51" s="89">
        <f>IF(J51=0,0,L51/J51)</f>
        <v/>
      </c>
      <c r="N51" s="89">
        <f>IFERROR(IF(F51="","",((G51/E51)^(365/MAX(1,TODAY()-F51))-1)),"")</f>
        <v/>
      </c>
      <c r="O51" s="89">
        <f>IFERROR(K51/SUM($K$4:$K$53),"")</f>
        <v/>
      </c>
      <c r="P51" s="90" t="n">
        <v>0</v>
      </c>
      <c r="Q51" s="91">
        <f>IF(ISBLANK(F51),"",IF(TODAY()-F51&gt;365,"LTCG","STCG"))</f>
        <v/>
      </c>
      <c r="R51" s="90">
        <f>L51+IF(ISNUMBER(P51),P51,0)</f>
        <v/>
      </c>
    </row>
    <row r="52" ht="16.5" customHeight="1" s="59">
      <c r="A52" s="37" t="inlineStr">
        <is>
          <t>TOTAL</t>
        </is>
      </c>
      <c r="B52" s="37" t="n"/>
      <c r="C52" s="37" t="inlineStr">
        <is>
          <t>Industrials</t>
        </is>
      </c>
      <c r="D52" s="37" t="n"/>
      <c r="E52" s="37" t="n"/>
      <c r="F52" s="37" t="n"/>
      <c r="G52" s="37" t="n">
        <v>48.59</v>
      </c>
      <c r="H52" s="37" t="n"/>
      <c r="I52" s="37" t="n"/>
      <c r="J52" s="80">
        <f>IFERROR(SUM(J4:J53),0)</f>
        <v/>
      </c>
      <c r="K52" s="80">
        <f>IFERROR(SUM(K4:K53),0)</f>
        <v/>
      </c>
      <c r="L52" s="80">
        <f>IFERROR(SUM(L4:L53),0)</f>
        <v/>
      </c>
      <c r="M52" s="81">
        <f>IFERROR((K54-J54)/J54,"")</f>
        <v/>
      </c>
      <c r="N52" s="80" t="n"/>
      <c r="O52" s="80" t="n"/>
    </row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5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>
      <c r="A4" s="22" t="n"/>
      <c r="B4" s="22" t="n"/>
      <c r="C4" s="22" t="n"/>
      <c r="D4" s="22" t="n"/>
      <c r="E4" s="24" t="n"/>
      <c r="F4" s="25" t="n"/>
      <c r="G4" s="26" t="n"/>
      <c r="H4" s="25" t="n"/>
      <c r="I4" s="24" t="n"/>
      <c r="J4" s="24" t="n"/>
      <c r="K4" s="27">
        <f>IFERROR(E4*F4,"")</f>
        <v/>
      </c>
      <c r="L4" s="27">
        <f>IFERROR(E4*H4,"")</f>
        <v/>
      </c>
      <c r="M4" s="27">
        <f>IFERROR(L4-K4,"")</f>
        <v/>
      </c>
      <c r="N4" s="28">
        <f>IFERROR((L4-K4)/K4,"")</f>
        <v/>
      </c>
      <c r="O4" s="28">
        <f>IFERROR(IF(G4="","",((H4/F4)^(365/MAX(1,TODAY()-G4))-1)),"")</f>
        <v/>
      </c>
      <c r="P4" s="28">
        <f>IFERROR(L4/SUM($L$4:$L$43),"")</f>
        <v/>
      </c>
      <c r="Q4">
        <f>IF(ISBLANK(G4), "", IF(TODAY()-G4&gt;365, "LTCG", "STCG"))</f>
        <v/>
      </c>
    </row>
    <row r="5" ht="16.5" customHeight="1" s="59">
      <c r="A5" s="29" t="n"/>
      <c r="B5" s="29" t="n"/>
      <c r="C5" s="29" t="n"/>
      <c r="D5" s="29" t="n"/>
      <c r="E5" s="31" t="n"/>
      <c r="F5" s="32" t="n"/>
      <c r="G5" s="33" t="n"/>
      <c r="H5" s="32" t="n"/>
      <c r="I5" s="31" t="n"/>
      <c r="J5" s="31" t="n"/>
      <c r="K5" s="34">
        <f>IFERROR(E5*F5,"")</f>
        <v/>
      </c>
      <c r="L5" s="34">
        <f>IFERROR(E5*H5,"")</f>
        <v/>
      </c>
      <c r="M5" s="34">
        <f>IFERROR(L5-K5,"")</f>
        <v/>
      </c>
      <c r="N5" s="35">
        <f>IFERROR((L5-K5)/K5,"")</f>
        <v/>
      </c>
      <c r="O5" s="35">
        <f>IFERROR(IF(G5="","",((H5/F5)^(365/MAX(1,TODAY()-G5))-1)),"")</f>
        <v/>
      </c>
      <c r="P5" s="35">
        <f>IFERROR(L5/SUM($L$4:$L$43),"")</f>
        <v/>
      </c>
      <c r="Q5">
        <f>IF(ISBLANK(G5), "", IF(TODAY()-G5&gt;365, "LTCG", "STCG"))</f>
        <v/>
      </c>
    </row>
    <row r="6" ht="16.5" customHeight="1" s="59">
      <c r="A6" s="22" t="n"/>
      <c r="B6" s="22" t="n"/>
      <c r="C6" s="22" t="n"/>
      <c r="D6" s="22" t="n"/>
      <c r="E6" s="24" t="n"/>
      <c r="F6" s="25" t="n"/>
      <c r="G6" s="26" t="n"/>
      <c r="H6" s="25" t="n"/>
      <c r="I6" s="24" t="n"/>
      <c r="J6" s="24" t="n"/>
      <c r="K6" s="27">
        <f>IFERROR(E6*F6,"")</f>
        <v/>
      </c>
      <c r="L6" s="27">
        <f>IFERROR(E6*H6,"")</f>
        <v/>
      </c>
      <c r="M6" s="27">
        <f>IFERROR(L6-K6,"")</f>
        <v/>
      </c>
      <c r="N6" s="28">
        <f>IFERROR((L6-K6)/K6,"")</f>
        <v/>
      </c>
      <c r="O6" s="28">
        <f>IFERROR(IF(G6="","",((H6/F6)^(365/MAX(1,TODAY()-G6))-1)),"")</f>
        <v/>
      </c>
      <c r="P6" s="28">
        <f>IFERROR(L6/SUM($L$4:$L$43),"")</f>
        <v/>
      </c>
      <c r="Q6">
        <f>IF(ISBLANK(G6), "", IF(TODAY()-G6&gt;365, "LTCG", "STCG"))</f>
        <v/>
      </c>
    </row>
    <row r="7" ht="16.5" customHeight="1" s="59">
      <c r="A7" s="29" t="n"/>
      <c r="B7" s="29" t="n"/>
      <c r="C7" s="29" t="n"/>
      <c r="D7" s="29" t="n"/>
      <c r="E7" s="31" t="n"/>
      <c r="F7" s="32" t="n"/>
      <c r="G7" s="33" t="n"/>
      <c r="H7" s="32" t="n"/>
      <c r="I7" s="31" t="n"/>
      <c r="J7" s="31" t="n"/>
      <c r="K7" s="34">
        <f>IFERROR(E7*F7,"")</f>
        <v/>
      </c>
      <c r="L7" s="34">
        <f>IFERROR(E7*H7,"")</f>
        <v/>
      </c>
      <c r="M7" s="34">
        <f>IFERROR(L7-K7,"")</f>
        <v/>
      </c>
      <c r="N7" s="35">
        <f>IFERROR((L7-K7)/K7,"")</f>
        <v/>
      </c>
      <c r="O7" s="35">
        <f>IFERROR(IF(G7="","",((H7/F7)^(365/MAX(1,TODAY()-G7))-1)),"")</f>
        <v/>
      </c>
      <c r="P7" s="35">
        <f>IFERROR(L7/SUM($L$4:$L$43),"")</f>
        <v/>
      </c>
      <c r="Q7">
        <f>IF(ISBLANK(G7), "", IF(TODAY()-G7&gt;365, "LTCG", "STCG"))</f>
        <v/>
      </c>
    </row>
    <row r="8" ht="16.5" customHeight="1" s="59">
      <c r="A8" s="22" t="n"/>
      <c r="B8" s="22" t="n"/>
      <c r="C8" s="22" t="n"/>
      <c r="D8" s="22" t="n"/>
      <c r="E8" s="24" t="n"/>
      <c r="F8" s="25" t="n"/>
      <c r="G8" s="26" t="n"/>
      <c r="H8" s="25" t="n"/>
      <c r="I8" s="24" t="n"/>
      <c r="J8" s="24" t="n"/>
      <c r="K8" s="27">
        <f>IFERROR(E8*F8,"")</f>
        <v/>
      </c>
      <c r="L8" s="27">
        <f>IFERROR(E8*H8,"")</f>
        <v/>
      </c>
      <c r="M8" s="27">
        <f>IFERROR(L8-K8,"")</f>
        <v/>
      </c>
      <c r="N8" s="28">
        <f>IFERROR((L8-K8)/K8,"")</f>
        <v/>
      </c>
      <c r="O8" s="28">
        <f>IFERROR(IF(G8="","",((H8/F8)^(365/MAX(1,TODAY()-G8))-1)),"")</f>
        <v/>
      </c>
      <c r="P8" s="28">
        <f>IFERROR(L8/SUM($L$4:$L$43),"")</f>
        <v/>
      </c>
      <c r="Q8">
        <f>IF(ISBLANK(G8), "", IF(TODAY()-G8&gt;365, "LTCG", "STCG"))</f>
        <v/>
      </c>
    </row>
    <row r="9" ht="16.5" customHeight="1" s="59">
      <c r="A9" s="29" t="n"/>
      <c r="B9" s="29" t="n"/>
      <c r="C9" s="29" t="n"/>
      <c r="D9" s="29" t="n"/>
      <c r="E9" s="31" t="n"/>
      <c r="F9" s="32" t="n"/>
      <c r="G9" s="33" t="n"/>
      <c r="H9" s="32" t="n"/>
      <c r="I9" s="31" t="n"/>
      <c r="J9" s="31" t="n"/>
      <c r="K9" s="34">
        <f>IFERROR(E9*F9,"")</f>
        <v/>
      </c>
      <c r="L9" s="34">
        <f>IFERROR(E9*H9,"")</f>
        <v/>
      </c>
      <c r="M9" s="34">
        <f>IFERROR(L9-K9,"")</f>
        <v/>
      </c>
      <c r="N9" s="35">
        <f>IFERROR((L9-K9)/K9,"")</f>
        <v/>
      </c>
      <c r="O9" s="35">
        <f>IFERROR(IF(G9="","",((H9/F9)^(365/MAX(1,TODAY()-G9))-1)),"")</f>
        <v/>
      </c>
      <c r="P9" s="35">
        <f>IFERROR(L9/SUM($L$4:$L$43),"")</f>
        <v/>
      </c>
      <c r="Q9">
        <f>IF(ISBLANK(G9), "", IF(TODAY()-G9&gt;365, "LTCG", "STCG"))</f>
        <v/>
      </c>
    </row>
    <row r="10" ht="16.5" customHeight="1" s="59">
      <c r="A10" s="22" t="n"/>
      <c r="B10" s="22" t="n"/>
      <c r="C10" s="22" t="n"/>
      <c r="D10" s="22" t="n"/>
      <c r="E10" s="24" t="n"/>
      <c r="F10" s="25" t="n"/>
      <c r="G10" s="26" t="n"/>
      <c r="H10" s="25" t="n"/>
      <c r="I10" s="24" t="n"/>
      <c r="J10" s="24" t="n"/>
      <c r="K10" s="27">
        <f>IFERROR(E10*F10,"")</f>
        <v/>
      </c>
      <c r="L10" s="27">
        <f>IFERROR(E10*H10,"")</f>
        <v/>
      </c>
      <c r="M10" s="27">
        <f>IFERROR(L10-K10,"")</f>
        <v/>
      </c>
      <c r="N10" s="28">
        <f>IFERROR((L10-K10)/K10,"")</f>
        <v/>
      </c>
      <c r="O10" s="28">
        <f>IFERROR(IF(G10="","",((H10/F10)^(365/MAX(1,TODAY()-G10))-1)),"")</f>
        <v/>
      </c>
      <c r="P10" s="28">
        <f>IFERROR(L10/SUM($L$4:$L$43),"")</f>
        <v/>
      </c>
      <c r="Q10">
        <f>IF(ISBLANK(G10), "", IF(TODAY()-G10&gt;365, "LTCG", "STCG"))</f>
        <v/>
      </c>
    </row>
    <row r="11" ht="16.5" customHeight="1" s="59">
      <c r="A11" s="29" t="n"/>
      <c r="B11" s="29" t="n"/>
      <c r="C11" s="29" t="n"/>
      <c r="D11" s="29" t="n"/>
      <c r="E11" s="31" t="n"/>
      <c r="F11" s="32" t="n"/>
      <c r="G11" s="33" t="n"/>
      <c r="H11" s="32" t="n"/>
      <c r="I11" s="31" t="n"/>
      <c r="J11" s="31" t="n"/>
      <c r="K11" s="34">
        <f>IFERROR(E11*F11,"")</f>
        <v/>
      </c>
      <c r="L11" s="34">
        <f>IFERROR(E11*H11,"")</f>
        <v/>
      </c>
      <c r="M11" s="34">
        <f>IFERROR(L11-K11,"")</f>
        <v/>
      </c>
      <c r="N11" s="35">
        <f>IFERROR((L11-K11)/K11,"")</f>
        <v/>
      </c>
      <c r="O11" s="35">
        <f>IFERROR(IF(G11="","",((H11/F11)^(365/MAX(1,TODAY()-G11))-1)),"")</f>
        <v/>
      </c>
      <c r="P11" s="35">
        <f>IFERROR(L11/SUM($L$4:$L$43),"")</f>
        <v/>
      </c>
      <c r="Q11">
        <f>IF(ISBLANK(G11), "", IF(TODAY()-G11&gt;365, "LTCG", "STCG"))</f>
        <v/>
      </c>
    </row>
    <row r="12" ht="16.5" customHeight="1" s="59">
      <c r="A12" s="22" t="n"/>
      <c r="B12" s="22" t="n"/>
      <c r="C12" s="22" t="n"/>
      <c r="D12" s="22" t="n"/>
      <c r="E12" s="24" t="n"/>
      <c r="F12" s="25" t="n"/>
      <c r="G12" s="26" t="n"/>
      <c r="H12" s="25" t="n"/>
      <c r="I12" s="24" t="n"/>
      <c r="J12" s="24" t="n"/>
      <c r="K12" s="27">
        <f>IFERROR(E12*F12,"")</f>
        <v/>
      </c>
      <c r="L12" s="27">
        <f>IFERROR(E12*H12,"")</f>
        <v/>
      </c>
      <c r="M12" s="27">
        <f>IFERROR(L12-K12,"")</f>
        <v/>
      </c>
      <c r="N12" s="28">
        <f>IFERROR((L12-K12)/K12,"")</f>
        <v/>
      </c>
      <c r="O12" s="28">
        <f>IFERROR(IF(G12="","",((H12/F12)^(365/MAX(1,TODAY()-G12))-1)),"")</f>
        <v/>
      </c>
      <c r="P12" s="28">
        <f>IFERROR(L12/SUM($L$4:$L$43),"")</f>
        <v/>
      </c>
      <c r="Q12">
        <f>IF(ISBLANK(G12), "", IF(TODAY()-G12&gt;365, "LTCG", "STCG"))</f>
        <v/>
      </c>
    </row>
    <row r="13" ht="16.5" customHeight="1" s="59">
      <c r="A13" s="29" t="n"/>
      <c r="B13" s="29" t="n"/>
      <c r="C13" s="29" t="n"/>
      <c r="D13" s="29" t="n"/>
      <c r="E13" s="31" t="n"/>
      <c r="F13" s="32" t="n"/>
      <c r="G13" s="33" t="n"/>
      <c r="H13" s="32" t="n"/>
      <c r="I13" s="31" t="n"/>
      <c r="J13" s="31" t="n"/>
      <c r="K13" s="34">
        <f>IFERROR(E13*F13,"")</f>
        <v/>
      </c>
      <c r="L13" s="34">
        <f>IFERROR(E13*H13,"")</f>
        <v/>
      </c>
      <c r="M13" s="34">
        <f>IFERROR(L13-K13,"")</f>
        <v/>
      </c>
      <c r="N13" s="35">
        <f>IFERROR((L13-K13)/K13,"")</f>
        <v/>
      </c>
      <c r="O13" s="35">
        <f>IFERROR(IF(G13="","",((H13/F13)^(365/MAX(1,TODAY()-G13))-1)),"")</f>
        <v/>
      </c>
      <c r="P13" s="35">
        <f>IFERROR(L13/SUM($L$4:$L$43),"")</f>
        <v/>
      </c>
      <c r="Q13">
        <f>IF(ISBLANK(G13), "", IF(TODAY()-G13&gt;365, "LTCG", "STCG"))</f>
        <v/>
      </c>
    </row>
    <row r="14" ht="16.5" customHeight="1" s="59">
      <c r="A14" s="22" t="n"/>
      <c r="B14" s="22" t="n"/>
      <c r="C14" s="22" t="n"/>
      <c r="D14" s="22" t="n"/>
      <c r="E14" s="24" t="n"/>
      <c r="F14" s="25" t="n"/>
      <c r="G14" s="26" t="n"/>
      <c r="H14" s="25" t="n"/>
      <c r="I14" s="24" t="n"/>
      <c r="J14" s="24" t="n"/>
      <c r="K14" s="27">
        <f>IFERROR(E14*F14,"")</f>
        <v/>
      </c>
      <c r="L14" s="27">
        <f>IFERROR(E14*H14,"")</f>
        <v/>
      </c>
      <c r="M14" s="27">
        <f>IFERROR(L14-K14,"")</f>
        <v/>
      </c>
      <c r="N14" s="28">
        <f>IFERROR((L14-K14)/K14,"")</f>
        <v/>
      </c>
      <c r="O14" s="28">
        <f>IFERROR(IF(G14="","",((H14/F14)^(365/MAX(1,TODAY()-G14))-1)),"")</f>
        <v/>
      </c>
      <c r="P14" s="28">
        <f>IFERROR(L14/SUM($L$4:$L$43),"")</f>
        <v/>
      </c>
      <c r="Q14">
        <f>IF(ISBLANK(G14), "", IF(TODAY()-G14&gt;365, "LTCG", "STCG"))</f>
        <v/>
      </c>
    </row>
    <row r="15" ht="16.5" customHeight="1" s="59">
      <c r="A15" s="29" t="n"/>
      <c r="B15" s="29" t="n"/>
      <c r="C15" s="29" t="n"/>
      <c r="D15" s="29" t="n"/>
      <c r="E15" s="31" t="n"/>
      <c r="F15" s="32" t="n"/>
      <c r="G15" s="33" t="n"/>
      <c r="H15" s="32" t="n"/>
      <c r="I15" s="31" t="n"/>
      <c r="J15" s="31" t="n"/>
      <c r="K15" s="34">
        <f>IFERROR(E15*F15,"")</f>
        <v/>
      </c>
      <c r="L15" s="34">
        <f>IFERROR(E15*H15,"")</f>
        <v/>
      </c>
      <c r="M15" s="34">
        <f>IFERROR(L15-K15,"")</f>
        <v/>
      </c>
      <c r="N15" s="35">
        <f>IFERROR((L15-K15)/K15,"")</f>
        <v/>
      </c>
      <c r="O15" s="35">
        <f>IFERROR(IF(G15="","",((H15/F15)^(365/MAX(1,TODAY()-G15))-1)),"")</f>
        <v/>
      </c>
      <c r="P15" s="35">
        <f>IFERROR(L15/SUM($L$4:$L$43),"")</f>
        <v/>
      </c>
      <c r="Q15">
        <f>IF(ISBLANK(G15), "", IF(TODAY()-G15&gt;365, "LTCG", "STCG"))</f>
        <v/>
      </c>
    </row>
    <row r="16" ht="16.5" customHeight="1" s="59">
      <c r="A16" s="22" t="n"/>
      <c r="B16" s="22" t="n"/>
      <c r="C16" s="22" t="n"/>
      <c r="D16" s="22" t="n"/>
      <c r="E16" s="24" t="n"/>
      <c r="F16" s="25" t="n"/>
      <c r="G16" s="26" t="n"/>
      <c r="H16" s="25" t="n"/>
      <c r="I16" s="24" t="n"/>
      <c r="J16" s="24" t="n"/>
      <c r="K16" s="27">
        <f>IFERROR(E16*F16,"")</f>
        <v/>
      </c>
      <c r="L16" s="27">
        <f>IFERROR(E16*H16,"")</f>
        <v/>
      </c>
      <c r="M16" s="27">
        <f>IFERROR(L16-K16,"")</f>
        <v/>
      </c>
      <c r="N16" s="28">
        <f>IFERROR((L16-K16)/K16,"")</f>
        <v/>
      </c>
      <c r="O16" s="28">
        <f>IFERROR(IF(G16="","",((H16/F16)^(365/MAX(1,TODAY()-G16))-1)),"")</f>
        <v/>
      </c>
      <c r="P16" s="28">
        <f>IFERROR(L16/SUM($L$4:$L$43),"")</f>
        <v/>
      </c>
      <c r="Q16">
        <f>IF(ISBLANK(G16), "", IF(TODAY()-G16&gt;365, "LTCG", "STCG"))</f>
        <v/>
      </c>
    </row>
    <row r="17" ht="16.5" customHeight="1" s="59">
      <c r="A17" s="29" t="n"/>
      <c r="B17" s="29" t="n"/>
      <c r="C17" s="29" t="n"/>
      <c r="D17" s="29" t="n"/>
      <c r="E17" s="31" t="n"/>
      <c r="F17" s="32" t="n"/>
      <c r="G17" s="33" t="n"/>
      <c r="H17" s="32" t="n"/>
      <c r="I17" s="31" t="n"/>
      <c r="J17" s="31" t="n"/>
      <c r="K17" s="34">
        <f>IFERROR(E17*F17,"")</f>
        <v/>
      </c>
      <c r="L17" s="34">
        <f>IFERROR(E17*H17,"")</f>
        <v/>
      </c>
      <c r="M17" s="34">
        <f>IFERROR(L17-K17,"")</f>
        <v/>
      </c>
      <c r="N17" s="35">
        <f>IFERROR((L17-K17)/K17,"")</f>
        <v/>
      </c>
      <c r="O17" s="35">
        <f>IFERROR(IF(G17="","",((H17/F17)^(365/MAX(1,TODAY()-G17))-1)),"")</f>
        <v/>
      </c>
      <c r="P17" s="35">
        <f>IFERROR(L17/SUM($L$4:$L$43),"")</f>
        <v/>
      </c>
      <c r="Q17">
        <f>IF(ISBLANK(G17), "", IF(TODAY()-G17&gt;365, "LTCG", "STCG"))</f>
        <v/>
      </c>
    </row>
    <row r="18" ht="16.5" customHeight="1" s="59">
      <c r="A18" s="22" t="n"/>
      <c r="B18" s="22" t="n"/>
      <c r="C18" s="22" t="n"/>
      <c r="D18" s="22" t="n"/>
      <c r="E18" s="24" t="n"/>
      <c r="F18" s="25" t="n"/>
      <c r="G18" s="26" t="n"/>
      <c r="H18" s="25" t="n"/>
      <c r="I18" s="24" t="n"/>
      <c r="J18" s="24" t="n"/>
      <c r="K18" s="27">
        <f>IFERROR(E18*F18,"")</f>
        <v/>
      </c>
      <c r="L18" s="27">
        <f>IFERROR(E18*H18,"")</f>
        <v/>
      </c>
      <c r="M18" s="27">
        <f>IFERROR(L18-K18,"")</f>
        <v/>
      </c>
      <c r="N18" s="28">
        <f>IFERROR((L18-K18)/K18,"")</f>
        <v/>
      </c>
      <c r="O18" s="28">
        <f>IFERROR(IF(G18="","",((H18/F18)^(365/MAX(1,TODAY()-G18))-1)),"")</f>
        <v/>
      </c>
      <c r="P18" s="28">
        <f>IFERROR(L18/SUM($L$4:$L$43),"")</f>
        <v/>
      </c>
      <c r="Q18">
        <f>IF(ISBLANK(G18), "", IF(TODAY()-G18&gt;365, "LTCG", "STCG"))</f>
        <v/>
      </c>
    </row>
    <row r="19" ht="16.5" customHeight="1" s="59">
      <c r="A19" s="29" t="n"/>
      <c r="B19" s="29" t="n"/>
      <c r="C19" s="29" t="n"/>
      <c r="D19" s="29" t="n"/>
      <c r="E19" s="31" t="n"/>
      <c r="F19" s="32" t="n"/>
      <c r="G19" s="33" t="n"/>
      <c r="H19" s="32" t="n"/>
      <c r="I19" s="31" t="n"/>
      <c r="J19" s="31" t="n"/>
      <c r="K19" s="34">
        <f>IFERROR(E19*F19,"")</f>
        <v/>
      </c>
      <c r="L19" s="34">
        <f>IFERROR(E19*H19,"")</f>
        <v/>
      </c>
      <c r="M19" s="34">
        <f>IFERROR(L19-K19,"")</f>
        <v/>
      </c>
      <c r="N19" s="35">
        <f>IFERROR((L19-K19)/K19,"")</f>
        <v/>
      </c>
      <c r="O19" s="35">
        <f>IFERROR(IF(G19="","",((H19/F19)^(365/MAX(1,TODAY()-G19))-1)),"")</f>
        <v/>
      </c>
      <c r="P19" s="35">
        <f>IFERROR(L19/SUM($L$4:$L$43),"")</f>
        <v/>
      </c>
      <c r="Q19">
        <f>IF(ISBLANK(G19), "", IF(TODAY()-G19&gt;365, "LTCG", "STCG"))</f>
        <v/>
      </c>
    </row>
    <row r="20" ht="16.5" customHeight="1" s="59">
      <c r="A20" s="22" t="n"/>
      <c r="B20" s="22" t="n"/>
      <c r="C20" s="22" t="n"/>
      <c r="D20" s="22" t="n"/>
      <c r="E20" s="24" t="n"/>
      <c r="F20" s="25" t="n"/>
      <c r="G20" s="26" t="n"/>
      <c r="H20" s="25" t="n"/>
      <c r="I20" s="24" t="n"/>
      <c r="J20" s="24" t="n"/>
      <c r="K20" s="27">
        <f>IFERROR(E20*F20,"")</f>
        <v/>
      </c>
      <c r="L20" s="27">
        <f>IFERROR(E20*H20,"")</f>
        <v/>
      </c>
      <c r="M20" s="27">
        <f>IFERROR(L20-K20,"")</f>
        <v/>
      </c>
      <c r="N20" s="28">
        <f>IFERROR((L20-K20)/K20,"")</f>
        <v/>
      </c>
      <c r="O20" s="28">
        <f>IFERROR(IF(G20="","",((H20/F20)^(365/MAX(1,TODAY()-G20))-1)),"")</f>
        <v/>
      </c>
      <c r="P20" s="28">
        <f>IFERROR(L20/SUM($L$4:$L$43),"")</f>
        <v/>
      </c>
      <c r="Q20">
        <f>IF(ISBLANK(G20), "", IF(TODAY()-G20&gt;365, "LTCG", "STCG"))</f>
        <v/>
      </c>
    </row>
    <row r="21" ht="16.5" customHeight="1" s="59">
      <c r="A21" s="29" t="n"/>
      <c r="B21" s="29" t="n"/>
      <c r="C21" s="29" t="n"/>
      <c r="D21" s="29" t="n"/>
      <c r="E21" s="31" t="n"/>
      <c r="F21" s="32" t="n"/>
      <c r="G21" s="33" t="n"/>
      <c r="H21" s="32" t="n"/>
      <c r="I21" s="31" t="n"/>
      <c r="J21" s="31" t="n"/>
      <c r="K21" s="34">
        <f>IFERROR(E21*F21,"")</f>
        <v/>
      </c>
      <c r="L21" s="34">
        <f>IFERROR(E21*H21,"")</f>
        <v/>
      </c>
      <c r="M21" s="34">
        <f>IFERROR(L21-K21,"")</f>
        <v/>
      </c>
      <c r="N21" s="35">
        <f>IFERROR((L21-K21)/K21,"")</f>
        <v/>
      </c>
      <c r="O21" s="35">
        <f>IFERROR(IF(G21="","",((H21/F21)^(365/MAX(1,TODAY()-G21))-1)),"")</f>
        <v/>
      </c>
      <c r="P21" s="35">
        <f>IFERROR(L21/SUM($L$4:$L$43),"")</f>
        <v/>
      </c>
      <c r="Q21">
        <f>IF(ISBLANK(G21), "", IF(TODAY()-G21&gt;365, "LTCG", "STCG"))</f>
        <v/>
      </c>
    </row>
    <row r="22" ht="16.5" customHeight="1" s="59">
      <c r="A22" s="22" t="n"/>
      <c r="B22" s="22" t="n"/>
      <c r="C22" s="22" t="n"/>
      <c r="D22" s="22" t="n"/>
      <c r="E22" s="24" t="n"/>
      <c r="F22" s="25" t="n"/>
      <c r="G22" s="26" t="n"/>
      <c r="H22" s="25" t="n"/>
      <c r="I22" s="24" t="n"/>
      <c r="J22" s="24" t="n"/>
      <c r="K22" s="27">
        <f>IFERROR(E22*F22,"")</f>
        <v/>
      </c>
      <c r="L22" s="27">
        <f>IFERROR(E22*H22,"")</f>
        <v/>
      </c>
      <c r="M22" s="27">
        <f>IFERROR(L22-K22,"")</f>
        <v/>
      </c>
      <c r="N22" s="28">
        <f>IFERROR((L22-K22)/K22,"")</f>
        <v/>
      </c>
      <c r="O22" s="28">
        <f>IFERROR(IF(G22="","",((H22/F22)^(365/MAX(1,TODAY()-G22))-1)),"")</f>
        <v/>
      </c>
      <c r="P22" s="28">
        <f>IFERROR(L22/SUM($L$4:$L$43),"")</f>
        <v/>
      </c>
      <c r="Q22">
        <f>IF(ISBLANK(G22), "", IF(TODAY()-G22&gt;365, "LTCG", "STCG"))</f>
        <v/>
      </c>
    </row>
    <row r="23" ht="16.5" customHeight="1" s="59">
      <c r="A23" s="29" t="n"/>
      <c r="B23" s="29" t="n"/>
      <c r="C23" s="29" t="n"/>
      <c r="D23" s="29" t="n"/>
      <c r="E23" s="31" t="n"/>
      <c r="F23" s="32" t="n"/>
      <c r="G23" s="33" t="n"/>
      <c r="H23" s="32" t="n"/>
      <c r="I23" s="31" t="n"/>
      <c r="J23" s="31" t="n"/>
      <c r="K23" s="34">
        <f>IFERROR(E23*F23,"")</f>
        <v/>
      </c>
      <c r="L23" s="34">
        <f>IFERROR(E23*H23,"")</f>
        <v/>
      </c>
      <c r="M23" s="34">
        <f>IFERROR(L23-K23,"")</f>
        <v/>
      </c>
      <c r="N23" s="35">
        <f>IFERROR((L23-K23)/K23,"")</f>
        <v/>
      </c>
      <c r="O23" s="35">
        <f>IFERROR(IF(G23="","",((H23/F23)^(365/MAX(1,TODAY()-G23))-1)),"")</f>
        <v/>
      </c>
      <c r="P23" s="35">
        <f>IFERROR(L23/SUM($L$4:$L$43),"")</f>
        <v/>
      </c>
      <c r="Q23">
        <f>IF(ISBLANK(G23), "", IF(TODAY()-G23&gt;365, "LTCG", "STCG"))</f>
        <v/>
      </c>
    </row>
    <row r="24" ht="16.5" customHeight="1" s="59">
      <c r="A24" s="22" t="n"/>
      <c r="B24" s="22" t="n"/>
      <c r="C24" s="22" t="n"/>
      <c r="D24" s="22" t="n"/>
      <c r="E24" s="24" t="n"/>
      <c r="F24" s="25" t="n"/>
      <c r="G24" s="26" t="n"/>
      <c r="H24" s="25" t="n"/>
      <c r="I24" s="24" t="n"/>
      <c r="J24" s="24" t="n"/>
      <c r="K24" s="27">
        <f>IFERROR(E24*F24,"")</f>
        <v/>
      </c>
      <c r="L24" s="27">
        <f>IFERROR(E24*H24,"")</f>
        <v/>
      </c>
      <c r="M24" s="27">
        <f>IFERROR(L24-K24,"")</f>
        <v/>
      </c>
      <c r="N24" s="28">
        <f>IFERROR((L24-K24)/K24,"")</f>
        <v/>
      </c>
      <c r="O24" s="28">
        <f>IFERROR(IF(G24="","",((H24/F24)^(365/MAX(1,TODAY()-G24))-1)),"")</f>
        <v/>
      </c>
      <c r="P24" s="28">
        <f>IFERROR(L24/SUM($L$4:$L$43),"")</f>
        <v/>
      </c>
      <c r="Q24">
        <f>IF(ISBLANK(G24), "", IF(TODAY()-G24&gt;365, "LTCG", "STCG"))</f>
        <v/>
      </c>
    </row>
    <row r="25" ht="16.5" customHeight="1" s="59">
      <c r="A25" s="29" t="n"/>
      <c r="B25" s="29" t="n"/>
      <c r="C25" s="29" t="n"/>
      <c r="D25" s="29" t="n"/>
      <c r="E25" s="31" t="n"/>
      <c r="F25" s="32" t="n"/>
      <c r="G25" s="33" t="n"/>
      <c r="H25" s="32" t="n"/>
      <c r="I25" s="31" t="n"/>
      <c r="J25" s="31" t="n"/>
      <c r="K25" s="34">
        <f>IFERROR(E25*F25,"")</f>
        <v/>
      </c>
      <c r="L25" s="34">
        <f>IFERROR(E25*H25,"")</f>
        <v/>
      </c>
      <c r="M25" s="34">
        <f>IFERROR(L25-K25,"")</f>
        <v/>
      </c>
      <c r="N25" s="35">
        <f>IFERROR((L25-K25)/K25,"")</f>
        <v/>
      </c>
      <c r="O25" s="35">
        <f>IFERROR(IF(G25="","",((H25/F25)^(365/MAX(1,TODAY()-G25))-1)),"")</f>
        <v/>
      </c>
      <c r="P25" s="35">
        <f>IFERROR(L25/SUM($L$4:$L$43),"")</f>
        <v/>
      </c>
      <c r="Q25">
        <f>IF(ISBLANK(G25), "", IF(TODAY()-G25&gt;365, "LTCG", "STCG"))</f>
        <v/>
      </c>
    </row>
    <row r="26" ht="16.5" customHeight="1" s="59">
      <c r="A26" s="22" t="n"/>
      <c r="B26" s="22" t="n"/>
      <c r="C26" s="22" t="n"/>
      <c r="D26" s="22" t="n"/>
      <c r="E26" s="24" t="n"/>
      <c r="F26" s="25" t="n"/>
      <c r="G26" s="26" t="n"/>
      <c r="H26" s="25" t="n"/>
      <c r="I26" s="24" t="n"/>
      <c r="J26" s="24" t="n"/>
      <c r="K26" s="27">
        <f>IFERROR(E26*F26,"")</f>
        <v/>
      </c>
      <c r="L26" s="27">
        <f>IFERROR(E26*H26,"")</f>
        <v/>
      </c>
      <c r="M26" s="27">
        <f>IFERROR(L26-K26,"")</f>
        <v/>
      </c>
      <c r="N26" s="28">
        <f>IFERROR((L26-K26)/K26,"")</f>
        <v/>
      </c>
      <c r="O26" s="28">
        <f>IFERROR(IF(G26="","",((H26/F26)^(365/MAX(1,TODAY()-G26))-1)),"")</f>
        <v/>
      </c>
      <c r="P26" s="28">
        <f>IFERROR(L26/SUM($L$4:$L$43),"")</f>
        <v/>
      </c>
      <c r="Q26">
        <f>IF(ISBLANK(G26), "", IF(TODAY()-G26&gt;365, "LTCG", "STCG"))</f>
        <v/>
      </c>
    </row>
    <row r="27" ht="16.5" customHeight="1" s="59">
      <c r="A27" s="29" t="n"/>
      <c r="B27" s="29" t="n"/>
      <c r="C27" s="29" t="n"/>
      <c r="D27" s="29" t="n"/>
      <c r="E27" s="31" t="n"/>
      <c r="F27" s="32" t="n"/>
      <c r="G27" s="33" t="n"/>
      <c r="H27" s="32" t="n"/>
      <c r="I27" s="31" t="n"/>
      <c r="J27" s="31" t="n"/>
      <c r="K27" s="34">
        <f>IFERROR(E27*F27,"")</f>
        <v/>
      </c>
      <c r="L27" s="34">
        <f>IFERROR(E27*H27,"")</f>
        <v/>
      </c>
      <c r="M27" s="34">
        <f>IFERROR(L27-K27,"")</f>
        <v/>
      </c>
      <c r="N27" s="35">
        <f>IFERROR((L27-K27)/K27,"")</f>
        <v/>
      </c>
      <c r="O27" s="35">
        <f>IFERROR(IF(G27="","",((H27/F27)^(365/MAX(1,TODAY()-G27))-1)),"")</f>
        <v/>
      </c>
      <c r="P27" s="35">
        <f>IFERROR(L27/SUM($L$4:$L$43),"")</f>
        <v/>
      </c>
      <c r="Q27">
        <f>IF(ISBLANK(G27), "", IF(TODAY()-G27&gt;365, "LTCG", "STCG"))</f>
        <v/>
      </c>
    </row>
    <row r="28" ht="16.5" customHeight="1" s="59">
      <c r="A28" s="22" t="n"/>
      <c r="B28" s="22" t="n"/>
      <c r="C28" s="22" t="n"/>
      <c r="D28" s="22" t="n"/>
      <c r="E28" s="24" t="n"/>
      <c r="F28" s="25" t="n"/>
      <c r="G28" s="26" t="n"/>
      <c r="H28" s="25" t="n"/>
      <c r="I28" s="24" t="n"/>
      <c r="J28" s="24" t="n"/>
      <c r="K28" s="27">
        <f>IFERROR(E28*F28,"")</f>
        <v/>
      </c>
      <c r="L28" s="27">
        <f>IFERROR(E28*H28,"")</f>
        <v/>
      </c>
      <c r="M28" s="27">
        <f>IFERROR(L28-K28,"")</f>
        <v/>
      </c>
      <c r="N28" s="28">
        <f>IFERROR((L28-K28)/K28,"")</f>
        <v/>
      </c>
      <c r="O28" s="28">
        <f>IFERROR(IF(G28="","",((H28/F28)^(365/MAX(1,TODAY()-G28))-1)),"")</f>
        <v/>
      </c>
      <c r="P28" s="28">
        <f>IFERROR(L28/SUM($L$4:$L$43),"")</f>
        <v/>
      </c>
      <c r="Q28">
        <f>IF(ISBLANK(G28), "", IF(TODAY()-G28&gt;365, "LTCG", "STCG"))</f>
        <v/>
      </c>
    </row>
    <row r="29" ht="16.5" customHeight="1" s="59">
      <c r="A29" s="29" t="n"/>
      <c r="B29" s="29" t="n"/>
      <c r="C29" s="29" t="n"/>
      <c r="D29" s="29" t="n"/>
      <c r="E29" s="31" t="n"/>
      <c r="F29" s="32" t="n"/>
      <c r="G29" s="33" t="n"/>
      <c r="H29" s="32" t="n"/>
      <c r="I29" s="31" t="n"/>
      <c r="J29" s="31" t="n"/>
      <c r="K29" s="34">
        <f>IFERROR(E29*F29,"")</f>
        <v/>
      </c>
      <c r="L29" s="34">
        <f>IFERROR(E29*H29,"")</f>
        <v/>
      </c>
      <c r="M29" s="34">
        <f>IFERROR(L29-K29,"")</f>
        <v/>
      </c>
      <c r="N29" s="35">
        <f>IFERROR((L29-K29)/K29,"")</f>
        <v/>
      </c>
      <c r="O29" s="35">
        <f>IFERROR(IF(G29="","",((H29/F29)^(365/MAX(1,TODAY()-G29))-1)),"")</f>
        <v/>
      </c>
      <c r="P29" s="35">
        <f>IFERROR(L29/SUM($L$4:$L$43),"")</f>
        <v/>
      </c>
      <c r="Q29">
        <f>IF(ISBLANK(G29), "", IF(TODAY()-G29&gt;365, "LTCG", "STCG"))</f>
        <v/>
      </c>
    </row>
    <row r="30" ht="16.5" customHeight="1" s="59">
      <c r="A30" s="22" t="n"/>
      <c r="B30" s="22" t="n"/>
      <c r="C30" s="22" t="n"/>
      <c r="D30" s="22" t="n"/>
      <c r="E30" s="24" t="n"/>
      <c r="F30" s="25" t="n"/>
      <c r="G30" s="26" t="n"/>
      <c r="H30" s="25" t="n"/>
      <c r="I30" s="24" t="n"/>
      <c r="J30" s="24" t="n"/>
      <c r="K30" s="27">
        <f>IFERROR(E30*F30,"")</f>
        <v/>
      </c>
      <c r="L30" s="27">
        <f>IFERROR(E30*H30,"")</f>
        <v/>
      </c>
      <c r="M30" s="27">
        <f>IFERROR(L30-K30,"")</f>
        <v/>
      </c>
      <c r="N30" s="28">
        <f>IFERROR((L30-K30)/K30,"")</f>
        <v/>
      </c>
      <c r="O30" s="28">
        <f>IFERROR(IF(G30="","",((H30/F30)^(365/MAX(1,TODAY()-G30))-1)),"")</f>
        <v/>
      </c>
      <c r="P30" s="28">
        <f>IFERROR(L30/SUM($L$4:$L$43),"")</f>
        <v/>
      </c>
      <c r="Q30">
        <f>IF(ISBLANK(G30), "", IF(TODAY()-G30&gt;365, "LTCG", "STCG"))</f>
        <v/>
      </c>
    </row>
    <row r="31" ht="16.5" customHeight="1" s="59">
      <c r="A31" s="29" t="n"/>
      <c r="B31" s="29" t="n"/>
      <c r="C31" s="29" t="n"/>
      <c r="D31" s="29" t="n"/>
      <c r="E31" s="31" t="n"/>
      <c r="F31" s="32" t="n"/>
      <c r="G31" s="33" t="n"/>
      <c r="H31" s="32" t="n"/>
      <c r="I31" s="31" t="n"/>
      <c r="J31" s="31" t="n"/>
      <c r="K31" s="34">
        <f>IFERROR(E31*F31,"")</f>
        <v/>
      </c>
      <c r="L31" s="34">
        <f>IFERROR(E31*H31,"")</f>
        <v/>
      </c>
      <c r="M31" s="34">
        <f>IFERROR(L31-K31,"")</f>
        <v/>
      </c>
      <c r="N31" s="35">
        <f>IFERROR((L31-K31)/K31,"")</f>
        <v/>
      </c>
      <c r="O31" s="35">
        <f>IFERROR(IF(G31="","",((H31/F31)^(365/MAX(1,TODAY()-G31))-1)),"")</f>
        <v/>
      </c>
      <c r="P31" s="35">
        <f>IFERROR(L31/SUM($L$4:$L$43),"")</f>
        <v/>
      </c>
      <c r="Q31">
        <f>IF(ISBLANK(G31), "", IF(TODAY()-G31&gt;365, "LTCG", "STCG"))</f>
        <v/>
      </c>
    </row>
    <row r="32" ht="16.5" customHeight="1" s="59">
      <c r="A32" s="22" t="n"/>
      <c r="B32" s="22" t="n"/>
      <c r="C32" s="22" t="n"/>
      <c r="D32" s="22" t="n"/>
      <c r="E32" s="24" t="n"/>
      <c r="F32" s="25" t="n"/>
      <c r="G32" s="26" t="n"/>
      <c r="H32" s="25" t="n"/>
      <c r="I32" s="24" t="n"/>
      <c r="J32" s="24" t="n"/>
      <c r="K32" s="27">
        <f>IFERROR(E32*F32,"")</f>
        <v/>
      </c>
      <c r="L32" s="27">
        <f>IFERROR(E32*H32,"")</f>
        <v/>
      </c>
      <c r="M32" s="27">
        <f>IFERROR(L32-K32,"")</f>
        <v/>
      </c>
      <c r="N32" s="28">
        <f>IFERROR((L32-K32)/K32,"")</f>
        <v/>
      </c>
      <c r="O32" s="28">
        <f>IFERROR(IF(G32="","",((H32/F32)^(365/MAX(1,TODAY()-G32))-1)),"")</f>
        <v/>
      </c>
      <c r="P32" s="28">
        <f>IFERROR(L32/SUM($L$4:$L$43),"")</f>
        <v/>
      </c>
      <c r="Q32">
        <f>IF(ISBLANK(G32), "", IF(TODAY()-G32&gt;365, "LTCG", "STCG"))</f>
        <v/>
      </c>
    </row>
    <row r="33" ht="16.5" customHeight="1" s="59">
      <c r="A33" s="29" t="n"/>
      <c r="B33" s="29" t="n"/>
      <c r="C33" s="29" t="n"/>
      <c r="D33" s="29" t="n"/>
      <c r="E33" s="31" t="n"/>
      <c r="F33" s="32" t="n"/>
      <c r="G33" s="33" t="n"/>
      <c r="H33" s="32" t="n"/>
      <c r="I33" s="31" t="n"/>
      <c r="J33" s="31" t="n"/>
      <c r="K33" s="34">
        <f>IFERROR(E33*F33,"")</f>
        <v/>
      </c>
      <c r="L33" s="34">
        <f>IFERROR(E33*H33,"")</f>
        <v/>
      </c>
      <c r="M33" s="34">
        <f>IFERROR(L33-K33,"")</f>
        <v/>
      </c>
      <c r="N33" s="35">
        <f>IFERROR((L33-K33)/K33,"")</f>
        <v/>
      </c>
      <c r="O33" s="35">
        <f>IFERROR(IF(G33="","",((H33/F33)^(365/MAX(1,TODAY()-G33))-1)),"")</f>
        <v/>
      </c>
      <c r="P33" s="35">
        <f>IFERROR(L33/SUM($L$4:$L$43),"")</f>
        <v/>
      </c>
      <c r="Q33">
        <f>IF(ISBLANK(G33), "", IF(TODAY()-G33&gt;365, "LTCG", "STCG"))</f>
        <v/>
      </c>
    </row>
    <row r="34" ht="16.5" customHeight="1" s="59">
      <c r="A34" s="22" t="n"/>
      <c r="B34" s="22" t="n"/>
      <c r="C34" s="22" t="n"/>
      <c r="D34" s="22" t="n"/>
      <c r="E34" s="24" t="n"/>
      <c r="F34" s="25" t="n"/>
      <c r="G34" s="26" t="n"/>
      <c r="H34" s="25" t="n"/>
      <c r="I34" s="24" t="n"/>
      <c r="J34" s="24" t="n"/>
      <c r="K34" s="27">
        <f>IFERROR(E34*F34,"")</f>
        <v/>
      </c>
      <c r="L34" s="27">
        <f>IFERROR(E34*H34,"")</f>
        <v/>
      </c>
      <c r="M34" s="27">
        <f>IFERROR(L34-K34,"")</f>
        <v/>
      </c>
      <c r="N34" s="28">
        <f>IFERROR((L34-K34)/K34,"")</f>
        <v/>
      </c>
      <c r="O34" s="28">
        <f>IFERROR(IF(G34="","",((H34/F34)^(365/MAX(1,TODAY()-G34))-1)),"")</f>
        <v/>
      </c>
      <c r="P34" s="28">
        <f>IFERROR(L34/SUM($L$4:$L$43),"")</f>
        <v/>
      </c>
      <c r="Q34">
        <f>IF(ISBLANK(G34), "", IF(TODAY()-G34&gt;365, "LTCG", "STCG"))</f>
        <v/>
      </c>
    </row>
    <row r="35" ht="16.5" customHeight="1" s="59">
      <c r="A35" s="29" t="n"/>
      <c r="B35" s="29" t="n"/>
      <c r="C35" s="29" t="n"/>
      <c r="D35" s="29" t="n"/>
      <c r="E35" s="31" t="n"/>
      <c r="F35" s="32" t="n"/>
      <c r="G35" s="33" t="n"/>
      <c r="H35" s="32" t="n"/>
      <c r="I35" s="31" t="n"/>
      <c r="J35" s="31" t="n"/>
      <c r="K35" s="34">
        <f>IFERROR(E35*F35,"")</f>
        <v/>
      </c>
      <c r="L35" s="34">
        <f>IFERROR(E35*H35,"")</f>
        <v/>
      </c>
      <c r="M35" s="34">
        <f>IFERROR(L35-K35,"")</f>
        <v/>
      </c>
      <c r="N35" s="35">
        <f>IFERROR((L35-K35)/K35,"")</f>
        <v/>
      </c>
      <c r="O35" s="35">
        <f>IFERROR(IF(G35="","",((H35/F35)^(365/MAX(1,TODAY()-G35))-1)),"")</f>
        <v/>
      </c>
      <c r="P35" s="35">
        <f>IFERROR(L35/SUM($L$4:$L$43),"")</f>
        <v/>
      </c>
      <c r="Q35">
        <f>IF(ISBLANK(G35), "", IF(TODAY()-G35&gt;365, "LTCG", "STCG"))</f>
        <v/>
      </c>
    </row>
    <row r="36" ht="16.5" customHeight="1" s="59">
      <c r="A36" s="22" t="n"/>
      <c r="B36" s="22" t="n"/>
      <c r="C36" s="22" t="n"/>
      <c r="D36" s="22" t="n"/>
      <c r="E36" s="24" t="n"/>
      <c r="F36" s="25" t="n"/>
      <c r="G36" s="26" t="n"/>
      <c r="H36" s="25" t="n"/>
      <c r="I36" s="24" t="n"/>
      <c r="J36" s="24" t="n"/>
      <c r="K36" s="27">
        <f>IFERROR(E36*F36,"")</f>
        <v/>
      </c>
      <c r="L36" s="27">
        <f>IFERROR(E36*H36,"")</f>
        <v/>
      </c>
      <c r="M36" s="27">
        <f>IFERROR(L36-K36,"")</f>
        <v/>
      </c>
      <c r="N36" s="28">
        <f>IFERROR((L36-K36)/K36,"")</f>
        <v/>
      </c>
      <c r="O36" s="28">
        <f>IFERROR(IF(G36="","",((H36/F36)^(365/MAX(1,TODAY()-G36))-1)),"")</f>
        <v/>
      </c>
      <c r="P36" s="28">
        <f>IFERROR(L36/SUM($L$4:$L$43),"")</f>
        <v/>
      </c>
      <c r="Q36">
        <f>IF(ISBLANK(G36), "", IF(TODAY()-G36&gt;365, "LTCG", "STCG"))</f>
        <v/>
      </c>
    </row>
    <row r="37" ht="16.5" customHeight="1" s="59">
      <c r="A37" s="29" t="n"/>
      <c r="B37" s="29" t="n"/>
      <c r="C37" s="29" t="n"/>
      <c r="D37" s="29" t="n"/>
      <c r="E37" s="31" t="n"/>
      <c r="F37" s="32" t="n"/>
      <c r="G37" s="33" t="n"/>
      <c r="H37" s="32" t="n"/>
      <c r="I37" s="31" t="n"/>
      <c r="J37" s="31" t="n"/>
      <c r="K37" s="34">
        <f>IFERROR(E37*F37,"")</f>
        <v/>
      </c>
      <c r="L37" s="34">
        <f>IFERROR(E37*H37,"")</f>
        <v/>
      </c>
      <c r="M37" s="34">
        <f>IFERROR(L37-K37,"")</f>
        <v/>
      </c>
      <c r="N37" s="35">
        <f>IFERROR((L37-K37)/K37,"")</f>
        <v/>
      </c>
      <c r="O37" s="35">
        <f>IFERROR(IF(G37="","",((H37/F37)^(365/MAX(1,TODAY()-G37))-1)),"")</f>
        <v/>
      </c>
      <c r="P37" s="35">
        <f>IFERROR(L37/SUM($L$4:$L$43),"")</f>
        <v/>
      </c>
      <c r="Q37">
        <f>IF(ISBLANK(G37), "", IF(TODAY()-G37&gt;365, "LTCG", "STCG"))</f>
        <v/>
      </c>
    </row>
    <row r="38" ht="16.5" customHeight="1" s="59">
      <c r="A38" s="22" t="n"/>
      <c r="B38" s="22" t="n"/>
      <c r="C38" s="22" t="n"/>
      <c r="D38" s="22" t="n"/>
      <c r="E38" s="24" t="n"/>
      <c r="F38" s="25" t="n"/>
      <c r="G38" s="26" t="n"/>
      <c r="H38" s="25" t="n"/>
      <c r="I38" s="24" t="n"/>
      <c r="J38" s="24" t="n"/>
      <c r="K38" s="27">
        <f>IFERROR(E38*F38,"")</f>
        <v/>
      </c>
      <c r="L38" s="27">
        <f>IFERROR(E38*H38,"")</f>
        <v/>
      </c>
      <c r="M38" s="27">
        <f>IFERROR(L38-K38,"")</f>
        <v/>
      </c>
      <c r="N38" s="28">
        <f>IFERROR((L38-K38)/K38,"")</f>
        <v/>
      </c>
      <c r="O38" s="28">
        <f>IFERROR(IF(G38="","",((H38/F38)^(365/MAX(1,TODAY()-G38))-1)),"")</f>
        <v/>
      </c>
      <c r="P38" s="28">
        <f>IFERROR(L38/SUM($L$4:$L$43),"")</f>
        <v/>
      </c>
      <c r="Q38">
        <f>IF(ISBLANK(G38), "", IF(TODAY()-G38&gt;365, "LTCG", "STCG"))</f>
        <v/>
      </c>
    </row>
    <row r="39" ht="16.5" customHeight="1" s="59">
      <c r="A39" s="29" t="n"/>
      <c r="B39" s="29" t="n"/>
      <c r="C39" s="29" t="n"/>
      <c r="D39" s="29" t="n"/>
      <c r="E39" s="31" t="n"/>
      <c r="F39" s="32" t="n"/>
      <c r="G39" s="33" t="n"/>
      <c r="H39" s="32" t="n"/>
      <c r="I39" s="31" t="n"/>
      <c r="J39" s="31" t="n"/>
      <c r="K39" s="34">
        <f>IFERROR(E39*F39,"")</f>
        <v/>
      </c>
      <c r="L39" s="34">
        <f>IFERROR(E39*H39,"")</f>
        <v/>
      </c>
      <c r="M39" s="34">
        <f>IFERROR(L39-K39,"")</f>
        <v/>
      </c>
      <c r="N39" s="35">
        <f>IFERROR((L39-K39)/K39,"")</f>
        <v/>
      </c>
      <c r="O39" s="35">
        <f>IFERROR(IF(G39="","",((H39/F39)^(365/MAX(1,TODAY()-G39))-1)),"")</f>
        <v/>
      </c>
      <c r="P39" s="35">
        <f>IFERROR(L39/SUM($L$4:$L$43),"")</f>
        <v/>
      </c>
      <c r="Q39">
        <f>IF(ISBLANK(G39), "", IF(TODAY()-G39&gt;365, "LTCG", "STCG"))</f>
        <v/>
      </c>
    </row>
    <row r="40" ht="16.5" customHeight="1" s="59">
      <c r="A40" s="22" t="n"/>
      <c r="B40" s="22" t="n"/>
      <c r="C40" s="22" t="n"/>
      <c r="D40" s="22" t="n"/>
      <c r="E40" s="24" t="n"/>
      <c r="F40" s="25" t="n"/>
      <c r="G40" s="26" t="n"/>
      <c r="H40" s="25" t="n"/>
      <c r="I40" s="24" t="n"/>
      <c r="J40" s="24" t="n"/>
      <c r="K40" s="27">
        <f>IFERROR(E40*F40,"")</f>
        <v/>
      </c>
      <c r="L40" s="27">
        <f>IFERROR(E40*H40,"")</f>
        <v/>
      </c>
      <c r="M40" s="27">
        <f>IFERROR(L40-K40,"")</f>
        <v/>
      </c>
      <c r="N40" s="28">
        <f>IFERROR((L40-K40)/K40,"")</f>
        <v/>
      </c>
      <c r="O40" s="28">
        <f>IFERROR(IF(G40="","",((H40/F40)^(365/MAX(1,TODAY()-G40))-1)),"")</f>
        <v/>
      </c>
      <c r="P40" s="28">
        <f>IFERROR(L40/SUM($L$4:$L$43),"")</f>
        <v/>
      </c>
      <c r="Q40">
        <f>IF(ISBLANK(G40), "", IF(TODAY()-G40&gt;365, "LTCG", "STCG"))</f>
        <v/>
      </c>
    </row>
    <row r="41" ht="16.5" customHeight="1" s="59">
      <c r="A41" s="29" t="n"/>
      <c r="B41" s="29" t="n"/>
      <c r="C41" s="29" t="n"/>
      <c r="D41" s="29" t="n"/>
      <c r="E41" s="31" t="n"/>
      <c r="F41" s="32" t="n"/>
      <c r="G41" s="33" t="n"/>
      <c r="H41" s="32" t="n"/>
      <c r="I41" s="31" t="n"/>
      <c r="J41" s="31" t="n"/>
      <c r="K41" s="34">
        <f>IFERROR(E41*F41,"")</f>
        <v/>
      </c>
      <c r="L41" s="34">
        <f>IFERROR(E41*H41,"")</f>
        <v/>
      </c>
      <c r="M41" s="34">
        <f>IFERROR(L41-K41,"")</f>
        <v/>
      </c>
      <c r="N41" s="35">
        <f>IFERROR((L41-K41)/K41,"")</f>
        <v/>
      </c>
      <c r="O41" s="35">
        <f>IFERROR(IF(G41="","",((H41/F41)^(365/MAX(1,TODAY()-G41))-1)),"")</f>
        <v/>
      </c>
      <c r="P41" s="35">
        <f>IFERROR(L41/SUM($L$4:$L$43),"")</f>
        <v/>
      </c>
      <c r="Q41">
        <f>IF(ISBLANK(G41), "", IF(TODAY()-G41&gt;365, "LTCG", "STCG"))</f>
        <v/>
      </c>
    </row>
    <row r="42" ht="16.5" customHeight="1" s="59">
      <c r="A42" s="22" t="n"/>
      <c r="B42" s="22" t="n"/>
      <c r="C42" s="22" t="n"/>
      <c r="D42" s="22" t="n"/>
      <c r="E42" s="24" t="n"/>
      <c r="F42" s="25" t="n"/>
      <c r="G42" s="26" t="n"/>
      <c r="H42" s="25" t="n"/>
      <c r="I42" s="24" t="n"/>
      <c r="J42" s="24" t="n"/>
      <c r="K42" s="27">
        <f>IFERROR(E42*F42,"")</f>
        <v/>
      </c>
      <c r="L42" s="27">
        <f>IFERROR(E42*H42,"")</f>
        <v/>
      </c>
      <c r="M42" s="27">
        <f>IFERROR(L42-K42,"")</f>
        <v/>
      </c>
      <c r="N42" s="28">
        <f>IFERROR((L42-K42)/K42,"")</f>
        <v/>
      </c>
      <c r="O42" s="28">
        <f>IFERROR(IF(G42="","",((H42/F42)^(365/MAX(1,TODAY()-G42))-1)),"")</f>
        <v/>
      </c>
      <c r="P42" s="28">
        <f>IFERROR(L42/SUM($L$4:$L$43),"")</f>
        <v/>
      </c>
      <c r="Q42">
        <f>IF(ISBLANK(G42), "", IF(TODAY()-G42&gt;365, "LTCG", "STCG"))</f>
        <v/>
      </c>
    </row>
    <row r="43" ht="16.5" customHeight="1" s="59">
      <c r="A43" s="29" t="n"/>
      <c r="B43" s="29" t="n"/>
      <c r="C43" s="29" t="n"/>
      <c r="D43" s="29" t="n"/>
      <c r="E43" s="31" t="n"/>
      <c r="F43" s="32" t="n"/>
      <c r="G43" s="33" t="n"/>
      <c r="H43" s="32" t="n"/>
      <c r="I43" s="31" t="n"/>
      <c r="J43" s="31" t="n"/>
      <c r="K43" s="34">
        <f>IFERROR(E43*F43,"")</f>
        <v/>
      </c>
      <c r="L43" s="34">
        <f>IFERROR(E43*H43,"")</f>
        <v/>
      </c>
      <c r="M43" s="34">
        <f>IFERROR(L43-K43,"")</f>
        <v/>
      </c>
      <c r="N43" s="35">
        <f>IFERROR((L43-K43)/K43,"")</f>
        <v/>
      </c>
      <c r="O43" s="35">
        <f>IFERROR(IF(G43="","",((H43/F43)^(365/MAX(1,TODAY()-G43))-1)),"")</f>
        <v/>
      </c>
      <c r="P43" s="35">
        <f>IFERROR(L43/SUM($L$4:$L$43),"")</f>
        <v/>
      </c>
      <c r="Q43">
        <f>IF(ISBLANK(G43), "", IF(TODAY()-G43&gt;365, "LTCG", "STCG"))</f>
        <v/>
      </c>
    </row>
    <row r="44" ht="19.5" customHeight="1" s="59">
      <c r="A44" s="37" t="inlineStr">
        <is>
          <t>TOTAL</t>
        </is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8">
        <f>IFERROR(SUM(K4:K43),0)</f>
        <v/>
      </c>
      <c r="L44" s="38">
        <f>IFERROR(SUM(L4:L43),0)</f>
        <v/>
      </c>
      <c r="M44" s="38">
        <f>IFERROR(SUM(M4:M43),0)</f>
        <v/>
      </c>
      <c r="N44" s="39">
        <f>IFERROR((L44-K44)/K44,"")</f>
        <v/>
      </c>
      <c r="O44" s="38" t="n"/>
      <c r="P44" s="38" t="n"/>
      <c r="Q44">
        <f>IF(ISBLANK(G44), "", IF(TODAY()-G44&gt;365, "LTCG", "STCG"))</f>
        <v/>
      </c>
    </row>
    <row r="45" ht="14.25" customHeight="1" s="59">
      <c r="Q45">
        <f>IF(ISBLANK(G45), "", IF(TODAY()-G45&gt;365, "LTCG", "STCG"))</f>
        <v/>
      </c>
    </row>
    <row r="46" ht="14.25" customHeight="1" s="59">
      <c r="Q46">
        <f>IF(ISBLANK(G46), "", IF(TODAY()-G46&gt;365, "LTCG", "STCG"))</f>
        <v/>
      </c>
    </row>
    <row r="47" ht="14.25" customHeight="1" s="59">
      <c r="Q47">
        <f>IF(ISBLANK(G47), "", IF(TODAY()-G47&gt;365, "LTCG", "STCG"))</f>
        <v/>
      </c>
    </row>
    <row r="48" ht="14.25" customHeight="1" s="59">
      <c r="Q48">
        <f>IF(ISBLANK(G48), "", IF(TODAY()-G48&gt;365, "LTCG", "STCG"))</f>
        <v/>
      </c>
    </row>
    <row r="49" ht="14.25" customHeight="1" s="59">
      <c r="Q49">
        <f>IF(ISBLANK(G49), "", IF(TODAY()-G49&gt;365, "LTCG", "STCG"))</f>
        <v/>
      </c>
    </row>
    <row r="50" ht="14.25" customHeight="1" s="59">
      <c r="Q50">
        <f>IF(ISBLANK(G50), "", IF(TODAY()-G50&gt;365, "LTCG", "STCG"))</f>
        <v/>
      </c>
    </row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2026-06-15T12:54:57Z</dcterms:modified>
  <cp:lastModifiedBy>Krish Mehta</cp:lastModifiedBy>
</cp:coreProperties>
</file>