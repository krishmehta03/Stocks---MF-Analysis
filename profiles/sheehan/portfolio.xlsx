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📋 How To Use" sheetId="1" state="visible" r:id="rId1"/>
    <sheet name="🎯 Dashboard" sheetId="2" state="visible" r:id="rId2"/>
    <sheet name="📥 Stock Data Input" sheetId="3" state="visible" r:id="rId3"/>
    <sheet name="📥 MF Data Input" sheetId="4" state="visible" r:id="rId4"/>
    <sheet name="📊 Stock Analysis" sheetId="5" state="visible" r:id="rId5"/>
    <sheet name="📊 MF Analysis" sheetId="6" state="visible" r:id="rId6"/>
    <sheet name="📈 Sector Allocation" sheetId="7" state="visible" r:id="rId7"/>
    <sheet name="⚠️ Risk &amp; Signal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yyyy-mm-dd"/>
  </numFmts>
  <fonts count="18">
    <font>
      <name val="Calibri"/>
      <color theme="1"/>
      <sz val="11"/>
      <scheme val="minor"/>
    </font>
    <font>
      <name val="Arial"/>
      <b val="1"/>
      <color rgb="FFFFFFFF"/>
      <sz val="13"/>
    </font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595959"/>
      <sz val="9"/>
    </font>
    <font>
      <name val="Arial"/>
      <color rgb="FF000000"/>
      <sz val="10"/>
    </font>
    <font>
      <name val="Arial"/>
      <b val="1"/>
      <color rgb="FF375623"/>
      <sz val="10"/>
    </font>
    <font>
      <name val="Arial"/>
      <color rgb="FF375623"/>
      <sz val="10"/>
    </font>
    <font>
      <name val="Arial"/>
      <b val="1"/>
      <color rgb="FFFFFFFF"/>
      <sz val="11"/>
    </font>
    <font>
      <name val="Arial"/>
      <color rgb="FF595959"/>
      <sz val="9"/>
    </font>
    <font>
      <name val="Arial"/>
      <b val="1"/>
      <color rgb="FF1F3864"/>
      <sz val="14"/>
    </font>
    <font>
      <name val="Arial"/>
      <b val="1"/>
      <color rgb="FFC00000"/>
      <sz val="10"/>
    </font>
    <font>
      <name val="Arial"/>
      <i val="1"/>
      <color rgb="FF5D4037"/>
      <sz val="9"/>
    </font>
    <font>
      <name val="Arial"/>
      <color rgb="FF0000FF"/>
      <sz val="10"/>
    </font>
    <font>
      <name val="Arial"/>
      <b val="1"/>
      <color rgb="FF000000"/>
      <sz val="10"/>
    </font>
    <font>
      <name val="Arial"/>
      <b val="1"/>
      <color rgb="FF1F3864"/>
      <sz val="12"/>
    </font>
    <font>
      <name val="Calibri"/>
      <b val="1"/>
      <color rgb="FFFFFFFF"/>
      <sz val="11"/>
    </font>
    <font>
      <name val="Calibri"/>
      <sz val="11"/>
    </font>
  </fonts>
  <fills count="1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FFF9C4"/>
        <bgColor rgb="FFFFF9C4"/>
      </patternFill>
    </fill>
    <fill>
      <patternFill patternType="solid">
        <fgColor rgb="FFEBF3FB"/>
        <bgColor rgb="FFEBF3FB"/>
      </patternFill>
    </fill>
    <fill>
      <patternFill patternType="solid">
        <fgColor rgb="FFDCF0FB"/>
        <bgColor rgb="FFDCF0FB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2" fillId="0" borderId="1"/>
  </cellStyleXfs>
  <cellXfs count="86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3" fontId="5" fillId="5" borderId="2" applyAlignment="1" pivotButton="0" quotePrefix="0" xfId="0">
      <alignment horizontal="center" vertical="center" wrapText="1"/>
    </xf>
    <xf numFmtId="1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10" fontId="5" fillId="6" borderId="2" applyAlignment="1" pivotButton="0" quotePrefix="0" xfId="0">
      <alignment horizontal="center" vertical="center" wrapText="1"/>
    </xf>
    <xf numFmtId="3" fontId="3" fillId="2" borderId="2" applyAlignment="1" pivotButton="0" quotePrefix="0" xfId="0">
      <alignment horizontal="center" vertical="center" wrapText="1"/>
    </xf>
    <xf numFmtId="10" fontId="3" fillId="2" borderId="2" applyAlignment="1" pivotButton="0" quotePrefix="0" xfId="0">
      <alignment horizontal="center" vertical="center" wrapText="1"/>
    </xf>
    <xf numFmtId="10" fontId="6" fillId="6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3" fontId="5" fillId="8" borderId="2" applyAlignment="1" pivotButton="0" quotePrefix="0" xfId="0">
      <alignment horizontal="center" vertical="center" wrapText="1"/>
    </xf>
    <xf numFmtId="10" fontId="11" fillId="8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3" fillId="10" borderId="3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4" fontId="13" fillId="10" borderId="2" applyAlignment="1" pivotButton="0" quotePrefix="0" xfId="0">
      <alignment horizontal="right" vertical="center"/>
    </xf>
    <xf numFmtId="164" fontId="13" fillId="10" borderId="2" applyAlignment="1" pivotButton="0" quotePrefix="0" xfId="0">
      <alignment horizontal="center" vertical="center"/>
    </xf>
    <xf numFmtId="4" fontId="5" fillId="5" borderId="2" applyAlignment="1" pivotButton="0" quotePrefix="0" xfId="0">
      <alignment horizontal="right" vertical="center"/>
    </xf>
    <xf numFmtId="10" fontId="5" fillId="5" borderId="2" applyAlignment="1" pivotButton="0" quotePrefix="0" xfId="0">
      <alignment horizontal="right" vertical="center"/>
    </xf>
    <xf numFmtId="0" fontId="13" fillId="11" borderId="2" applyAlignment="1" pivotButton="0" quotePrefix="0" xfId="0">
      <alignment horizontal="left" vertical="center"/>
    </xf>
    <xf numFmtId="0" fontId="13" fillId="11" borderId="3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4" fontId="13" fillId="11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center" vertical="center"/>
    </xf>
    <xf numFmtId="4" fontId="5" fillId="4" borderId="2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0" fontId="13" fillId="10" borderId="5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4" fontId="3" fillId="2" borderId="2" applyAlignment="1" pivotButton="0" quotePrefix="0" xfId="0">
      <alignment horizontal="right" vertical="center"/>
    </xf>
    <xf numFmtId="10" fontId="3" fillId="2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/>
    </xf>
    <xf numFmtId="0" fontId="14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center" vertical="center"/>
    </xf>
    <xf numFmtId="4" fontId="5" fillId="12" borderId="2" applyAlignment="1" pivotButton="0" quotePrefix="0" xfId="0">
      <alignment horizontal="right" vertical="center"/>
    </xf>
    <xf numFmtId="10" fontId="5" fillId="12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6" fillId="14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3" fontId="10" fillId="5" borderId="2" applyAlignment="1" pivotButton="0" quotePrefix="0" xfId="0">
      <alignment horizontal="center" vertical="center" wrapText="1"/>
    </xf>
    <xf numFmtId="0" fontId="0" fillId="0" borderId="3" pivotButton="0" quotePrefix="0" xfId="0"/>
    <xf numFmtId="10" fontId="10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left" vertical="center"/>
    </xf>
    <xf numFmtId="0" fontId="0" fillId="0" borderId="6" pivotButton="0" quotePrefix="0" xfId="0"/>
    <xf numFmtId="0" fontId="5" fillId="8" borderId="2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4" fontId="5" fillId="5" borderId="2" applyAlignment="1" pivotButton="0" quotePrefix="0" xfId="0">
      <alignment horizontal="right" vertical="center" wrapText="1"/>
    </xf>
    <xf numFmtId="10" fontId="5" fillId="5" borderId="2" applyAlignment="1" pivotButton="0" quotePrefix="0" xfId="0">
      <alignment horizontal="right" vertical="center" wrapText="1"/>
    </xf>
    <xf numFmtId="4" fontId="5" fillId="4" borderId="2" applyAlignment="1" pivotButton="0" quotePrefix="0" xfId="0">
      <alignment horizontal="right" vertical="center" wrapText="1"/>
    </xf>
    <xf numFmtId="10" fontId="5" fillId="4" borderId="2" applyAlignment="1" pivotButton="0" quotePrefix="0" xfId="0">
      <alignment horizontal="right" vertical="center" wrapText="1"/>
    </xf>
    <xf numFmtId="4" fontId="3" fillId="2" borderId="2" applyAlignment="1" pivotButton="0" quotePrefix="0" xfId="0">
      <alignment horizontal="right" vertical="center" wrapText="1"/>
    </xf>
    <xf numFmtId="10" fontId="3" fillId="2" borderId="2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right"/>
    </xf>
    <xf numFmtId="165" fontId="17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Z1000"/>
  <sheetViews>
    <sheetView showGridLines="0" workbookViewId="0">
      <selection activeCell="A1" sqref="A1:B1"/>
    </sheetView>
  </sheetViews>
  <sheetFormatPr baseColWidth="8" defaultColWidth="14.44140625" defaultRowHeight="15" customHeight="1"/>
  <cols>
    <col width="26.6640625" customWidth="1" style="59" min="1" max="1"/>
    <col width="84.6640625" customWidth="1" style="59" min="2" max="2"/>
    <col width="8.6640625" customWidth="1" style="59" min="3" max="26"/>
  </cols>
  <sheetData>
    <row r="1" ht="30" customHeight="1" s="59">
      <c r="A1" s="60" t="inlineStr">
        <is>
          <t>Portfolio &amp; Mutual Fund Management Template — User Guide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7.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59">
      <c r="A3" s="58" t="inlineStr">
        <is>
          <t>SHEET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3.75" customHeight="1" s="59">
      <c r="A4" s="2" t="inlineStr">
        <is>
          <t>📥 Stock Data Input</t>
        </is>
      </c>
      <c r="B4" s="3" t="inlineStr">
        <is>
          <t>Enter equity holdings. Fill: Scrip Name, Qty, Buy Price, Buy Date, Current Price, Sector, Exchange. All other columns auto-calculate.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8.5" customHeight="1" s="59">
      <c r="A5" s="2" t="inlineStr">
        <is>
          <t>📥 MF Data Input</t>
        </is>
      </c>
      <c r="B5" s="3" t="inlineStr">
        <is>
          <t>Enter mutual fund holdings. Fill: Fund Name, AMC, Category, Units, Buy NAV, Buy Date, Current NAV, Benchmark Return %. Returns auto-calculate.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0.75" customHeight="1" s="59">
      <c r="A6" s="2" t="inlineStr">
        <is>
          <t>📊 Stock Analysis</t>
        </is>
      </c>
      <c r="B6" s="3" t="inlineStr">
        <is>
          <t>Auto-generated P&amp;L, XIRR estimate, weight, and signals for every stock. Pulls from Stock Data Input — do not edit.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6.25" customHeight="1" s="59">
      <c r="A7" s="2" t="inlineStr">
        <is>
          <t>📊 MF Analysis</t>
        </is>
      </c>
      <c r="B7" s="3" t="inlineStr">
        <is>
          <t>Auto-generated returns, alpha vs benchmark, and signals for every fund. Pulls from MF Data Input — do not edit.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2" t="inlineStr">
        <is>
          <t>🎯 Dashboard</t>
        </is>
      </c>
      <c r="B8" s="3" t="inlineStr">
        <is>
          <t>Executive summary: total value, combined P&amp;L, top/bottom 5 performers, asset allocation split. All auto-calculated.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3.25" customHeight="1" s="59">
      <c r="A9" s="2" t="inlineStr">
        <is>
          <t>📈 Sector Allocation</t>
        </is>
      </c>
      <c r="B9" s="3" t="inlineStr">
        <is>
          <t>Sector-wise equity breakdown with value, return, and concentration weight. Auto-calculated.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9.25" customHeight="1" s="59">
      <c r="A10" s="2" t="inlineStr">
        <is>
          <t>⚠️ Risk &amp; Signals</t>
        </is>
      </c>
      <c r="B10" s="3" t="inlineStr">
        <is>
          <t>Summary counts + detailed flags: loss positions, underperformers, low-qty holdings, MFs below benchmark. Auto-calculated.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6" customHeight="1" s="59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59">
      <c r="A12" s="58" t="inlineStr">
        <is>
          <t>COLOR LEGEND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59">
      <c r="A13" s="2" t="inlineStr">
        <is>
          <t>🔵 Blue cell background</t>
        </is>
      </c>
      <c r="B13" s="3" t="inlineStr">
        <is>
          <t>→ Input cell: YOU must fill this in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2" t="inlineStr">
        <is>
          <t>⚫ Black text</t>
        </is>
      </c>
      <c r="B14" s="3" t="inlineStr">
        <is>
          <t>→ Formula cell: auto-calculated, do not edit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" customHeight="1" s="59">
      <c r="A15" s="2" t="inlineStr">
        <is>
          <t>🟢 Green signal</t>
        </is>
      </c>
      <c r="B15" s="3" t="inlineStr">
        <is>
          <t>→ Strong performer / Hold / Outperforming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8" customHeight="1" s="59">
      <c r="A16" s="2" t="inlineStr">
        <is>
          <t>🟡 Amber signal</t>
        </is>
      </c>
      <c r="B16" s="3" t="inlineStr">
        <is>
          <t>→ Watch / Review / Below benchmark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8" customHeight="1" s="59">
      <c r="A17" s="2" t="inlineStr">
        <is>
          <t>🔴 Red signal</t>
        </is>
      </c>
      <c r="B17" s="3" t="inlineStr">
        <is>
          <t>→ Underperformer / Loss / Consider exit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6" customHeight="1" s="5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8" customHeight="1" s="59">
      <c r="A19" s="58" t="inlineStr">
        <is>
          <t>QUICK START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8" customHeight="1" s="59">
      <c r="A20" s="4" t="inlineStr">
        <is>
          <t>Step 1</t>
        </is>
      </c>
      <c r="B20" s="5" t="inlineStr">
        <is>
          <t>Go to 📥 Stock Data Input → enter your stock holdings row by row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8" customHeight="1" s="59">
      <c r="A21" s="4" t="inlineStr">
        <is>
          <t>Step 2</t>
        </is>
      </c>
      <c r="B21" s="5" t="inlineStr">
        <is>
          <t>Go to 📥 MF Data Input → enter your mutual fund holdings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8" customHeight="1" s="59">
      <c r="A22" s="4" t="inlineStr">
        <is>
          <t>Step 3</t>
        </is>
      </c>
      <c r="B22" s="5" t="inlineStr">
        <is>
          <t>All analysis sheets update automatically — no manual work needed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8" customHeight="1" s="59">
      <c r="A23" s="4" t="inlineStr">
        <is>
          <t>Step 4</t>
        </is>
      </c>
      <c r="B23" s="5" t="inlineStr">
        <is>
          <t>Check 🎯 Dashboard for full portfolio summary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8" customHeight="1" s="59">
      <c r="A24" s="4" t="inlineStr">
        <is>
          <t>Step 5</t>
        </is>
      </c>
      <c r="B24" s="5" t="inlineStr">
        <is>
          <t>Check ⚠️ Risk &amp; Signals for prioritised action list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6" customHeight="1" s="5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8" customHeight="1" s="59">
      <c r="A26" s="58" t="inlineStr">
        <is>
          <t>NOTES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 s="59">
      <c r="A27" s="2" t="inlineStr">
        <is>
          <t>Buy Price</t>
        </is>
      </c>
      <c r="B27" s="3" t="inlineStr">
        <is>
          <t>Enter the average cost per share. For multiple purchases, use weighted average buy price.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59">
      <c r="A28" s="2" t="inlineStr">
        <is>
          <t>Current Price</t>
        </is>
      </c>
      <c r="B28" s="3" t="inlineStr">
        <is>
          <t>Update this periodically to refresh all calculations across all sheets.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4.75" customHeight="1" s="59">
      <c r="A29" s="2" t="inlineStr">
        <is>
          <t>5Y CAGR</t>
        </is>
      </c>
      <c r="B29" s="3" t="inlineStr">
        <is>
          <t>Enter manually from Screener.in, Tickertape, or Moneycontrol. Used for benchmark comparison.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8" customHeight="1" s="59">
      <c r="A30" s="2" t="inlineStr">
        <is>
          <t>Nifty 5Y CAGR</t>
        </is>
      </c>
      <c r="B30" s="3" t="inlineStr">
        <is>
          <t>Enter 14 as a default (Nifty 50 delivered ~14% CAGR over last 5 years). Adjust if needed.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59">
      <c r="A31" s="2" t="inlineStr">
        <is>
          <t>XIRR</t>
        </is>
      </c>
      <c r="B31" s="3" t="inlineStr">
        <is>
          <t>Approximate annualised return from buy date to today. For precise XIRR, use broker statement.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0.25" customHeight="1" s="59">
      <c r="A32" s="2" t="inlineStr">
        <is>
          <t>Benchmark (MF)</t>
        </is>
      </c>
      <c r="B32" s="3" t="inlineStr">
        <is>
          <t>Enter 1Y benchmark return % from the fund factsheet or AMFI website.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5">
    <mergeCell ref="A26:B26"/>
    <mergeCell ref="A19:B19"/>
    <mergeCell ref="A1:B1"/>
    <mergeCell ref="A3:B3"/>
    <mergeCell ref="A12:B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13.44140625" customWidth="1" style="59" min="1" max="1"/>
    <col width="18.6640625" customWidth="1" style="59" min="2" max="3"/>
    <col width="16.6640625" customWidth="1" style="59" min="4" max="5"/>
    <col width="18.33203125" customWidth="1" style="59" min="6" max="6"/>
    <col width="14.6640625" customWidth="1" style="59" min="7" max="8"/>
    <col width="8.6640625" customWidth="1" style="59" min="9" max="26"/>
  </cols>
  <sheetData>
    <row r="1" ht="31.5" customHeight="1" s="59">
      <c r="A1" s="60" t="inlineStr">
        <is>
          <t>Investment Portfolio — Executive Dashboard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.75" customHeight="1" s="59">
      <c r="A3" s="66" t="inlineStr">
        <is>
          <t>📊 PORTFOLIO SUMMARY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 s="59">
      <c r="A4" s="65" t="inlineStr">
        <is>
          <t>Total Stock Value (₹)</t>
        </is>
      </c>
      <c r="B4" s="63" t="n"/>
      <c r="C4" s="65" t="inlineStr">
        <is>
          <t>Total MF Value (₹)</t>
        </is>
      </c>
      <c r="D4" s="63" t="n"/>
      <c r="E4" s="65" t="inlineStr">
        <is>
          <t>Combined Portfolio (₹)</t>
        </is>
      </c>
      <c r="F4" s="63" t="n"/>
      <c r="G4" s="65" t="inlineStr">
        <is>
          <t>Total Unrealised P&amp;L (₹)</t>
        </is>
      </c>
      <c r="H4" s="63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7.75" customHeight="1" s="59">
      <c r="A5" s="62">
        <f>'📥 Stock Data Input'!K54</f>
        <v/>
      </c>
      <c r="B5" s="63" t="n"/>
      <c r="C5" s="62">
        <f>'📥 MF Data Input'!L44</f>
        <v/>
      </c>
      <c r="D5" s="63" t="n"/>
      <c r="E5" s="62">
        <f>'📥 Stock Data Input'!K54+'📥 MF Data Input'!L44</f>
        <v/>
      </c>
      <c r="F5" s="63" t="n"/>
      <c r="G5" s="62">
        <f>'📥 Stock Data Input'!L54+'📥 MF Data Input'!M44</f>
        <v/>
      </c>
      <c r="H5" s="63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7.5" customHeight="1" s="59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" customHeight="1" s="59">
      <c r="A7" s="65" t="inlineStr">
        <is>
          <t>Stock Invested (₹)</t>
        </is>
      </c>
      <c r="B7" s="63" t="n"/>
      <c r="C7" s="65" t="inlineStr">
        <is>
          <t>MF Invested (₹)</t>
        </is>
      </c>
      <c r="D7" s="63" t="n"/>
      <c r="E7" s="65" t="inlineStr">
        <is>
          <t>Total Invested (₹)</t>
        </is>
      </c>
      <c r="F7" s="63" t="n"/>
      <c r="G7" s="65" t="inlineStr">
        <is>
          <t>Overall Return %</t>
        </is>
      </c>
      <c r="H7" s="6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62">
        <f>'📥 Stock Data Input'!J54</f>
        <v/>
      </c>
      <c r="B8" s="63" t="n"/>
      <c r="C8" s="62">
        <f>'📥 MF Data Input'!K44</f>
        <v/>
      </c>
      <c r="D8" s="63" t="n"/>
      <c r="E8" s="62">
        <f>'📥 Stock Data Input'!J54+'📥 MF Data Input'!K44</f>
        <v/>
      </c>
      <c r="F8" s="63" t="n"/>
      <c r="G8" s="64">
        <f>IFERROR(('📥 Stock Data Input'!K54+'📥 MF Data Input'!L44-'📥 Stock Data Input'!J54-'📥 MF Data Input'!K44)/('📥 Stock Data Input'!J54+'📥 MF Data Input'!K44),0)</f>
        <v/>
      </c>
      <c r="H8" s="63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7.5" customHeight="1" s="5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.75" customHeight="1" s="59">
      <c r="A10" s="66" t="inlineStr">
        <is>
          <t>🥧 ASSET ALLOCATION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8.5" customHeight="1" s="59">
      <c r="A11" s="6" t="inlineStr">
        <is>
          <t>Asset Class</t>
        </is>
      </c>
      <c r="B11" s="6" t="inlineStr">
        <is>
          <t>Invested (₹)</t>
        </is>
      </c>
      <c r="C11" s="6" t="inlineStr">
        <is>
          <t>Current Value (₹)</t>
        </is>
      </c>
      <c r="D11" s="6" t="inlineStr">
        <is>
          <t>P&amp;L (₹)</t>
        </is>
      </c>
      <c r="E11" s="6" t="inlineStr">
        <is>
          <t>Return %</t>
        </is>
      </c>
      <c r="F11" s="6" t="inlineStr">
        <is>
          <t>% of Total Portfolio</t>
        </is>
      </c>
      <c r="G11" s="6" t="n"/>
      <c r="H11" s="6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5.25" customHeight="1" s="59">
      <c r="A12" s="7" t="inlineStr">
        <is>
          <t>Equities (Stocks)</t>
        </is>
      </c>
      <c r="B12" s="8">
        <f>'📥 Stock Data Input'!J54</f>
        <v/>
      </c>
      <c r="C12" s="8">
        <f>'📥 Stock Data Input'!K54</f>
        <v/>
      </c>
      <c r="D12" s="8">
        <f>IFERROR(C12-B12,0)</f>
        <v/>
      </c>
      <c r="E12" s="9">
        <f>IFERROR((C12-B12)/B12,0)</f>
        <v/>
      </c>
      <c r="F12" s="9">
        <f>IFERROR(C12/(C12+C13),0)</f>
        <v/>
      </c>
      <c r="G12" s="7" t="n"/>
      <c r="H12" s="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" customHeight="1" s="59">
      <c r="A13" s="10" t="inlineStr">
        <is>
          <t>Mutual Funds</t>
        </is>
      </c>
      <c r="B13" s="11">
        <f>'📥 MF Data Input'!K44</f>
        <v/>
      </c>
      <c r="C13" s="11">
        <f>'📥 MF Data Input'!L44</f>
        <v/>
      </c>
      <c r="D13" s="11">
        <f>IFERROR(C13-B13,0)</f>
        <v/>
      </c>
      <c r="E13" s="12">
        <f>IFERROR((C13-B13)/B13,0)</f>
        <v/>
      </c>
      <c r="F13" s="12">
        <f>IFERROR(C13/(C12+C13),0)</f>
        <v/>
      </c>
      <c r="G13" s="10" t="n"/>
      <c r="H13" s="10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6" t="inlineStr">
        <is>
          <t>TOTAL</t>
        </is>
      </c>
      <c r="B14" s="13">
        <f>SUM(B12:B13)</f>
        <v/>
      </c>
      <c r="C14" s="13">
        <f>SUM(C12:C13)</f>
        <v/>
      </c>
      <c r="D14" s="13">
        <f>SUM(D12:D13)</f>
        <v/>
      </c>
      <c r="E14" s="14">
        <f>IFERROR((C14-B14)/B14,0)</f>
        <v/>
      </c>
      <c r="F14" s="14">
        <f>1</f>
        <v/>
      </c>
      <c r="G14" s="6" t="n"/>
      <c r="H14" s="6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7.5" customHeight="1" s="5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.75" customHeight="1" s="59">
      <c r="A16" s="66" t="inlineStr">
        <is>
          <t>🏆 TOP 5 STOCK PERFORMERS (by Return %)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59">
      <c r="A17" s="6" t="inlineStr">
        <is>
          <t>Rank</t>
        </is>
      </c>
      <c r="B17" s="6" t="inlineStr">
        <is>
          <t>Scrip Name</t>
        </is>
      </c>
      <c r="C17" s="6" t="inlineStr">
        <is>
          <t>Sector</t>
        </is>
      </c>
      <c r="D17" s="6" t="inlineStr">
        <is>
          <t>Qty</t>
        </is>
      </c>
      <c r="E17" s="6" t="inlineStr">
        <is>
          <t>Invested (₹)</t>
        </is>
      </c>
      <c r="F17" s="6" t="inlineStr">
        <is>
          <t>Current (₹)</t>
        </is>
      </c>
      <c r="G17" s="6" t="inlineStr">
        <is>
          <t>P&amp;L (₹)</t>
        </is>
      </c>
      <c r="H17" s="6" t="inlineStr">
        <is>
          <t>Return %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30.75" customHeight="1" s="59">
      <c r="A18" s="4" t="inlineStr">
        <is>
          <t>#1</t>
        </is>
      </c>
      <c r="B18" s="10">
        <f t="array" ref="B18">IFERROR(INDEX('📥 Stock Data Input'!$A$4:$A$53,MATCH(LARGE('📥 Stock Data Input'!$M$4:$M$53,1),'📥 Stock Data Input'!$M$4:$M$53,0)),"")</f>
        <v/>
      </c>
      <c r="C18" s="10">
        <f t="array" ref="C18">IFERROR(INDEX('📥 Stock Data Input'!$C$4:$C$53,MATCH(LARGE('📥 Stock Data Input'!$M$4:$M$53,1),'📥 Stock Data Input'!$M$4:$M$53,0)),"")</f>
        <v/>
      </c>
      <c r="D18" s="11">
        <f t="array" ref="D18">IFERROR(INDEX('📥 Stock Data Input'!$D$4:$D$53,MATCH(LARGE('📥 Stock Data Input'!$M$4:$M$53,1),'📥 Stock Data Input'!$M$4:$M$53,0)),"")</f>
        <v/>
      </c>
      <c r="E18" s="11">
        <f t="array" ref="E18">IFERROR(INDEX('📥 Stock Data Input'!$J$4:$J$53,MATCH(LARGE('📥 Stock Data Input'!$M$4:$M$53,1),'📥 Stock Data Input'!$M$4:$M$53,0)),"")</f>
        <v/>
      </c>
      <c r="F18" s="11">
        <f t="array" ref="F18">IFERROR(INDEX('📥 Stock Data Input'!$K$4:$K$53,MATCH(LARGE('📥 Stock Data Input'!$M$4:$M$53,1),'📥 Stock Data Input'!$M$4:$M$53,0)),"")</f>
        <v/>
      </c>
      <c r="G18" s="11">
        <f t="array" ref="G18">IFERROR(INDEX('📥 Stock Data Input'!$L$4:$L$53,MATCH(LARGE('📥 Stock Data Input'!$M$4:$M$53,1),'📥 Stock Data Input'!$M$4:$M$53,0)),"")</f>
        <v/>
      </c>
      <c r="H18" s="15">
        <f>IFERROR(LARGE('📥 Stock Data Input'!$M$4:$M$53,1),"")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4" customHeight="1" s="59">
      <c r="A19" s="4" t="inlineStr">
        <is>
          <t>#2</t>
        </is>
      </c>
      <c r="B19" s="10">
        <f t="array" ref="B19">IFERROR(INDEX('📥 Stock Data Input'!$A$4:$A$53,MATCH(LARGE('📥 Stock Data Input'!$M$4:$M$53,2),'📥 Stock Data Input'!$M$4:$M$53,0)),"")</f>
        <v/>
      </c>
      <c r="C19" s="10">
        <f t="array" ref="C19">IFERROR(INDEX('📥 Stock Data Input'!$C$4:$C$53,MATCH(LARGE('📥 Stock Data Input'!$M$4:$M$53,2),'📥 Stock Data Input'!$M$4:$M$53,0)),"")</f>
        <v/>
      </c>
      <c r="D19" s="11">
        <f t="array" ref="D19">IFERROR(INDEX('📥 Stock Data Input'!$D$4:$D$53,MATCH(LARGE('📥 Stock Data Input'!$M$4:$M$53,2),'📥 Stock Data Input'!$M$4:$M$53,0)),"")</f>
        <v/>
      </c>
      <c r="E19" s="11">
        <f t="array" ref="E19">IFERROR(INDEX('📥 Stock Data Input'!$J$4:$J$53,MATCH(LARGE('📥 Stock Data Input'!$M$4:$M$53,2),'📥 Stock Data Input'!$M$4:$M$53,0)),"")</f>
        <v/>
      </c>
      <c r="F19" s="11">
        <f t="array" ref="F19">IFERROR(INDEX('📥 Stock Data Input'!$K$4:$K$53,MATCH(LARGE('📥 Stock Data Input'!$M$4:$M$53,2),'📥 Stock Data Input'!$M$4:$M$53,0)),"")</f>
        <v/>
      </c>
      <c r="G19" s="11">
        <f t="array" ref="G19">IFERROR(INDEX('📥 Stock Data Input'!$L$4:$L$53,MATCH(LARGE('📥 Stock Data Input'!$M$4:$M$53,2),'📥 Stock Data Input'!$M$4:$M$53,0)),"")</f>
        <v/>
      </c>
      <c r="H19" s="15">
        <f>IFERROR(LARGE('📥 Stock Data Input'!$M$4:$M$53,2),"")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2.5" customHeight="1" s="59">
      <c r="A20" s="4" t="inlineStr">
        <is>
          <t>#3</t>
        </is>
      </c>
      <c r="B20" s="10">
        <f t="array" ref="B20">IFERROR(INDEX('📥 Stock Data Input'!$A$4:$A$53,MATCH(LARGE('📥 Stock Data Input'!$M$4:$M$53,3),'📥 Stock Data Input'!$M$4:$M$53,0)),"")</f>
        <v/>
      </c>
      <c r="C20" s="10">
        <f t="array" ref="C20">IFERROR(INDEX('📥 Stock Data Input'!$C$4:$C$53,MATCH(LARGE('📥 Stock Data Input'!$M$4:$M$53,3),'📥 Stock Data Input'!$M$4:$M$53,0)),"")</f>
        <v/>
      </c>
      <c r="D20" s="11">
        <f t="array" ref="D20">IFERROR(INDEX('📥 Stock Data Input'!$D$4:$D$53,MATCH(LARGE('📥 Stock Data Input'!$M$4:$M$53,3),'📥 Stock Data Input'!$M$4:$M$53,0)),"")</f>
        <v/>
      </c>
      <c r="E20" s="11">
        <f t="array" ref="E20">IFERROR(INDEX('📥 Stock Data Input'!$J$4:$J$53,MATCH(LARGE('📥 Stock Data Input'!$M$4:$M$53,3),'📥 Stock Data Input'!$M$4:$M$53,0)),"")</f>
        <v/>
      </c>
      <c r="F20" s="11">
        <f t="array" ref="F20">IFERROR(INDEX('📥 Stock Data Input'!$K$4:$K$53,MATCH(LARGE('📥 Stock Data Input'!$M$4:$M$53,3),'📥 Stock Data Input'!$M$4:$M$53,0)),"")</f>
        <v/>
      </c>
      <c r="G20" s="11">
        <f t="array" ref="G20">IFERROR(INDEX('📥 Stock Data Input'!$L$4:$L$53,MATCH(LARGE('📥 Stock Data Input'!$M$4:$M$53,3),'📥 Stock Data Input'!$M$4:$M$53,0)),"")</f>
        <v/>
      </c>
      <c r="H20" s="15">
        <f>IFERROR(LARGE('📥 Stock Data Input'!$M$4:$M$53,3),"")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3.25" customHeight="1" s="59">
      <c r="A21" s="4" t="inlineStr">
        <is>
          <t>#4</t>
        </is>
      </c>
      <c r="B21" s="10">
        <f t="array" ref="B21">IFERROR(INDEX('📥 Stock Data Input'!$A$4:$A$53,MATCH(LARGE('📥 Stock Data Input'!$M$4:$M$53,4),'📥 Stock Data Input'!$M$4:$M$53,0)),"")</f>
        <v/>
      </c>
      <c r="C21" s="10">
        <f t="array" ref="C21">IFERROR(INDEX('📥 Stock Data Input'!$C$4:$C$53,MATCH(LARGE('📥 Stock Data Input'!$M$4:$M$53,4),'📥 Stock Data Input'!$M$4:$M$53,0)),"")</f>
        <v/>
      </c>
      <c r="D21" s="11">
        <f t="array" ref="D21">IFERROR(INDEX('📥 Stock Data Input'!$D$4:$D$53,MATCH(LARGE('📥 Stock Data Input'!$M$4:$M$53,4),'📥 Stock Data Input'!$M$4:$M$53,0)),"")</f>
        <v/>
      </c>
      <c r="E21" s="11">
        <f t="array" ref="E21">IFERROR(INDEX('📥 Stock Data Input'!$J$4:$J$53,MATCH(LARGE('📥 Stock Data Input'!$M$4:$M$53,4),'📥 Stock Data Input'!$M$4:$M$53,0)),"")</f>
        <v/>
      </c>
      <c r="F21" s="11">
        <f t="array" ref="F21">IFERROR(INDEX('📥 Stock Data Input'!$K$4:$K$53,MATCH(LARGE('📥 Stock Data Input'!$M$4:$M$53,4),'📥 Stock Data Input'!$M$4:$M$53,0)),"")</f>
        <v/>
      </c>
      <c r="G21" s="11">
        <f t="array" ref="G21">IFERROR(INDEX('📥 Stock Data Input'!$L$4:$L$53,MATCH(LARGE('📥 Stock Data Input'!$M$4:$M$53,4),'📥 Stock Data Input'!$M$4:$M$53,0)),"")</f>
        <v/>
      </c>
      <c r="H21" s="15">
        <f>IFERROR(LARGE('📥 Stock Data Input'!$M$4:$M$53,4),"")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6.5" customHeight="1" s="59">
      <c r="A22" s="4" t="inlineStr">
        <is>
          <t>#5</t>
        </is>
      </c>
      <c r="B22" s="10">
        <f t="array" ref="B22">IFERROR(INDEX('📥 Stock Data Input'!$A$4:$A$53,MATCH(LARGE('📥 Stock Data Input'!$M$4:$M$53,5),'📥 Stock Data Input'!$M$4:$M$53,0)),"")</f>
        <v/>
      </c>
      <c r="C22" s="10">
        <f t="array" ref="C22">IFERROR(INDEX('📥 Stock Data Input'!$C$4:$C$53,MATCH(LARGE('📥 Stock Data Input'!$M$4:$M$53,5),'📥 Stock Data Input'!$M$4:$M$53,0)),"")</f>
        <v/>
      </c>
      <c r="D22" s="11">
        <f t="array" ref="D22">IFERROR(INDEX('📥 Stock Data Input'!$D$4:$D$53,MATCH(LARGE('📥 Stock Data Input'!$M$4:$M$53,5),'📥 Stock Data Input'!$M$4:$M$53,0)),"")</f>
        <v/>
      </c>
      <c r="E22" s="11">
        <f t="array" ref="E22">IFERROR(INDEX('📥 Stock Data Input'!$J$4:$J$53,MATCH(LARGE('📥 Stock Data Input'!$M$4:$M$53,5),'📥 Stock Data Input'!$M$4:$M$53,0)),"")</f>
        <v/>
      </c>
      <c r="F22" s="11">
        <f t="array" ref="F22">IFERROR(INDEX('📥 Stock Data Input'!$K$4:$K$53,MATCH(LARGE('📥 Stock Data Input'!$M$4:$M$53,5),'📥 Stock Data Input'!$M$4:$M$53,0)),"")</f>
        <v/>
      </c>
      <c r="G22" s="11">
        <f t="array" ref="G22">IFERROR(INDEX('📥 Stock Data Input'!$L$4:$L$53,MATCH(LARGE('📥 Stock Data Input'!$M$4:$M$53,5),'📥 Stock Data Input'!$M$4:$M$53,0)),"")</f>
        <v/>
      </c>
      <c r="H22" s="15">
        <f>IFERROR(LARGE('📥 Stock Data Input'!$M$4:$M$53,5),"")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7.5" customHeight="1" s="5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.75" customHeight="1" s="59">
      <c r="A24" s="61" t="inlineStr">
        <is>
          <t>📉 BOTTOM 5 STOCK PERFORMERS (by Return %)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59">
      <c r="A25" s="6" t="inlineStr">
        <is>
          <t>Rank</t>
        </is>
      </c>
      <c r="B25" s="6" t="inlineStr">
        <is>
          <t>Scrip Name</t>
        </is>
      </c>
      <c r="C25" s="6" t="inlineStr">
        <is>
          <t>Sector</t>
        </is>
      </c>
      <c r="D25" s="6" t="inlineStr">
        <is>
          <t>Qty</t>
        </is>
      </c>
      <c r="E25" s="6" t="inlineStr">
        <is>
          <t>Invested (₹)</t>
        </is>
      </c>
      <c r="F25" s="6" t="inlineStr">
        <is>
          <t>Current (₹)</t>
        </is>
      </c>
      <c r="G25" s="6" t="inlineStr">
        <is>
          <t>P&amp;L (₹)</t>
        </is>
      </c>
      <c r="H25" s="6" t="inlineStr">
        <is>
          <t>Return %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5.5" customHeight="1" s="59">
      <c r="A26" s="16" t="inlineStr">
        <is>
          <t>#1</t>
        </is>
      </c>
      <c r="B26" s="17">
        <f t="array" ref="B26">IFERROR(INDEX('📥 Stock Data Input'!$A$4:$A$53,MATCH(SMALL('📥 Stock Data Input'!$M$4:$M$53,1),'📥 Stock Data Input'!$M$4:$M$53,0)),"")</f>
        <v/>
      </c>
      <c r="C26" s="17">
        <f t="array" ref="C26">IFERROR(INDEX('📥 Stock Data Input'!$C$4:$C$53,MATCH(SMALL('📥 Stock Data Input'!$M$4:$M$53,1),'📥 Stock Data Input'!$M$4:$M$53,0)),"")</f>
        <v/>
      </c>
      <c r="D26" s="18">
        <f t="array" ref="D26">IFERROR(INDEX('📥 Stock Data Input'!$D$4:$D$53,MATCH(SMALL('📥 Stock Data Input'!$M$4:$M$53,1),'📥 Stock Data Input'!$M$4:$M$53,0)),"")</f>
        <v/>
      </c>
      <c r="E26" s="18">
        <f t="array" ref="E26">IFERROR(INDEX('📥 Stock Data Input'!$J$4:$J$53,MATCH(SMALL('📥 Stock Data Input'!$M$4:$M$53,1),'📥 Stock Data Input'!$M$4:$M$53,0)),"")</f>
        <v/>
      </c>
      <c r="F26" s="18">
        <f t="array" ref="F26">IFERROR(INDEX('📥 Stock Data Input'!$K$4:$K$53,MATCH(SMALL('📥 Stock Data Input'!$M$4:$M$53,1),'📥 Stock Data Input'!$M$4:$M$53,0)),"")</f>
        <v/>
      </c>
      <c r="G26" s="18">
        <f t="array" ref="G26">IFERROR(INDEX('📥 Stock Data Input'!$L$4:$L$53,MATCH(SMALL('📥 Stock Data Input'!$M$4:$M$53,1),'📥 Stock Data Input'!$M$4:$M$53,0)),"")</f>
        <v/>
      </c>
      <c r="H26" s="19">
        <f>IFERROR(SMALL('📥 Stock Data Input'!$M$4:$M$53,1),"")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9.25" customHeight="1" s="59">
      <c r="A27" s="16" t="inlineStr">
        <is>
          <t>#2</t>
        </is>
      </c>
      <c r="B27" s="17">
        <f t="array" ref="B27">IFERROR(INDEX('📥 Stock Data Input'!$A$4:$A$53,MATCH(SMALL('📥 Stock Data Input'!$M$4:$M$53,2),'📥 Stock Data Input'!$M$4:$M$53,0)),"")</f>
        <v/>
      </c>
      <c r="C27" s="17">
        <f t="array" ref="C27">IFERROR(INDEX('📥 Stock Data Input'!$C$4:$C$53,MATCH(SMALL('📥 Stock Data Input'!$M$4:$M$53,2),'📥 Stock Data Input'!$M$4:$M$53,0)),"")</f>
        <v/>
      </c>
      <c r="D27" s="18">
        <f t="array" ref="D27">IFERROR(INDEX('📥 Stock Data Input'!$D$4:$D$53,MATCH(SMALL('📥 Stock Data Input'!$M$4:$M$53,2),'📥 Stock Data Input'!$M$4:$M$53,0)),"")</f>
        <v/>
      </c>
      <c r="E27" s="18">
        <f t="array" ref="E27">IFERROR(INDEX('📥 Stock Data Input'!$J$4:$J$53,MATCH(SMALL('📥 Stock Data Input'!$M$4:$M$53,2),'📥 Stock Data Input'!$M$4:$M$53,0)),"")</f>
        <v/>
      </c>
      <c r="F27" s="18">
        <f t="array" ref="F27">IFERROR(INDEX('📥 Stock Data Input'!$K$4:$K$53,MATCH(SMALL('📥 Stock Data Input'!$M$4:$M$53,2),'📥 Stock Data Input'!$M$4:$M$53,0)),"")</f>
        <v/>
      </c>
      <c r="G27" s="18">
        <f t="array" ref="G27">IFERROR(INDEX('📥 Stock Data Input'!$L$4:$L$53,MATCH(SMALL('📥 Stock Data Input'!$M$4:$M$53,2),'📥 Stock Data Input'!$M$4:$M$53,0)),"")</f>
        <v/>
      </c>
      <c r="H27" s="19">
        <f>IFERROR(SMALL('📥 Stock Data Input'!$M$4:$M$53,2),"")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7" customHeight="1" s="59">
      <c r="A28" s="16" t="inlineStr">
        <is>
          <t>#3</t>
        </is>
      </c>
      <c r="B28" s="17">
        <f t="array" ref="B28">IFERROR(INDEX('📥 Stock Data Input'!$A$4:$A$53,MATCH(SMALL('📥 Stock Data Input'!$M$4:$M$53,3),'📥 Stock Data Input'!$M$4:$M$53,0)),"")</f>
        <v/>
      </c>
      <c r="C28" s="17">
        <f t="array" ref="C28">IFERROR(INDEX('📥 Stock Data Input'!$C$4:$C$53,MATCH(SMALL('📥 Stock Data Input'!$M$4:$M$53,3),'📥 Stock Data Input'!$M$4:$M$53,0)),"")</f>
        <v/>
      </c>
      <c r="D28" s="18">
        <f t="array" ref="D28">IFERROR(INDEX('📥 Stock Data Input'!$D$4:$D$53,MATCH(SMALL('📥 Stock Data Input'!$M$4:$M$53,3),'📥 Stock Data Input'!$M$4:$M$53,0)),"")</f>
        <v/>
      </c>
      <c r="E28" s="18">
        <f t="array" ref="E28">IFERROR(INDEX('📥 Stock Data Input'!$J$4:$J$53,MATCH(SMALL('📥 Stock Data Input'!$M$4:$M$53,3),'📥 Stock Data Input'!$M$4:$M$53,0)),"")</f>
        <v/>
      </c>
      <c r="F28" s="18">
        <f t="array" ref="F28">IFERROR(INDEX('📥 Stock Data Input'!$K$4:$K$53,MATCH(SMALL('📥 Stock Data Input'!$M$4:$M$53,3),'📥 Stock Data Input'!$M$4:$M$53,0)),"")</f>
        <v/>
      </c>
      <c r="G28" s="18">
        <f t="array" ref="G28">IFERROR(INDEX('📥 Stock Data Input'!$L$4:$L$53,MATCH(SMALL('📥 Stock Data Input'!$M$4:$M$53,3),'📥 Stock Data Input'!$M$4:$M$53,0)),"")</f>
        <v/>
      </c>
      <c r="H28" s="19">
        <f>IFERROR(SMALL('📥 Stock Data Input'!$M$4:$M$53,3),"")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3.25" customHeight="1" s="59">
      <c r="A29" s="16" t="inlineStr">
        <is>
          <t>#4</t>
        </is>
      </c>
      <c r="B29" s="17">
        <f t="array" ref="B29">IFERROR(INDEX('📥 Stock Data Input'!$A$4:$A$53,MATCH(SMALL('📥 Stock Data Input'!$M$4:$M$53,4),'📥 Stock Data Input'!$M$4:$M$53,0)),"")</f>
        <v/>
      </c>
      <c r="C29" s="17">
        <f t="array" ref="C29">IFERROR(INDEX('📥 Stock Data Input'!$C$4:$C$53,MATCH(SMALL('📥 Stock Data Input'!$M$4:$M$53,4),'📥 Stock Data Input'!$M$4:$M$53,0)),"")</f>
        <v/>
      </c>
      <c r="D29" s="18">
        <f t="array" ref="D29">IFERROR(INDEX('📥 Stock Data Input'!$D$4:$D$53,MATCH(SMALL('📥 Stock Data Input'!$M$4:$M$53,4),'📥 Stock Data Input'!$M$4:$M$53,0)),"")</f>
        <v/>
      </c>
      <c r="E29" s="18">
        <f t="array" ref="E29">IFERROR(INDEX('📥 Stock Data Input'!$J$4:$J$53,MATCH(SMALL('📥 Stock Data Input'!$M$4:$M$53,4),'📥 Stock Data Input'!$M$4:$M$53,0)),"")</f>
        <v/>
      </c>
      <c r="F29" s="18">
        <f t="array" ref="F29">IFERROR(INDEX('📥 Stock Data Input'!$K$4:$K$53,MATCH(SMALL('📥 Stock Data Input'!$M$4:$M$53,4),'📥 Stock Data Input'!$M$4:$M$53,0)),"")</f>
        <v/>
      </c>
      <c r="G29" s="18">
        <f t="array" ref="G29">IFERROR(INDEX('📥 Stock Data Input'!$L$4:$L$53,MATCH(SMALL('📥 Stock Data Input'!$M$4:$M$53,4),'📥 Stock Data Input'!$M$4:$M$53,0)),"")</f>
        <v/>
      </c>
      <c r="H29" s="19">
        <f>IFERROR(SMALL('📥 Stock Data Input'!$M$4:$M$53,4),"")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" customHeight="1" s="59">
      <c r="A30" s="16" t="inlineStr">
        <is>
          <t>#5</t>
        </is>
      </c>
      <c r="B30" s="17">
        <f t="array" ref="B30">IFERROR(INDEX('📥 Stock Data Input'!$A$4:$A$53,MATCH(SMALL('📥 Stock Data Input'!$M$4:$M$53,5),'📥 Stock Data Input'!$M$4:$M$53,0)),"")</f>
        <v/>
      </c>
      <c r="C30" s="17">
        <f t="array" ref="C30">IFERROR(INDEX('📥 Stock Data Input'!$C$4:$C$53,MATCH(SMALL('📥 Stock Data Input'!$M$4:$M$53,5),'📥 Stock Data Input'!$M$4:$M$53,0)),"")</f>
        <v/>
      </c>
      <c r="D30" s="18">
        <f t="array" ref="D30">IFERROR(INDEX('📥 Stock Data Input'!$D$4:$D$53,MATCH(SMALL('📥 Stock Data Input'!$M$4:$M$53,5),'📥 Stock Data Input'!$M$4:$M$53,0)),"")</f>
        <v/>
      </c>
      <c r="E30" s="18">
        <f t="array" ref="E30">IFERROR(INDEX('📥 Stock Data Input'!$J$4:$J$53,MATCH(SMALL('📥 Stock Data Input'!$M$4:$M$53,5),'📥 Stock Data Input'!$M$4:$M$53,0)),"")</f>
        <v/>
      </c>
      <c r="F30" s="18">
        <f t="array" ref="F30">IFERROR(INDEX('📥 Stock Data Input'!$K$4:$K$53,MATCH(SMALL('📥 Stock Data Input'!$M$4:$M$53,5),'📥 Stock Data Input'!$M$4:$M$53,0)),"")</f>
        <v/>
      </c>
      <c r="G30" s="18">
        <f t="array" ref="G30">IFERROR(INDEX('📥 Stock Data Input'!$L$4:$L$53,MATCH(SMALL('📥 Stock Data Input'!$M$4:$M$53,5),'📥 Stock Data Input'!$M$4:$M$53,0)),"")</f>
        <v/>
      </c>
      <c r="H30" s="19">
        <f>IFERROR(SMALL('📥 Stock Data Input'!$M$4:$M$53,5),"")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5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5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1">
    <mergeCell ref="A24:H24"/>
    <mergeCell ref="C5:D5"/>
    <mergeCell ref="E5:F5"/>
    <mergeCell ref="A1:H1"/>
    <mergeCell ref="G8:H8"/>
    <mergeCell ref="E8:F8"/>
    <mergeCell ref="C4:D4"/>
    <mergeCell ref="E4:F4"/>
    <mergeCell ref="A7:B7"/>
    <mergeCell ref="G7:H7"/>
    <mergeCell ref="A16:H16"/>
    <mergeCell ref="A3:H3"/>
    <mergeCell ref="A5:B5"/>
    <mergeCell ref="G5:H5"/>
    <mergeCell ref="A8:B8"/>
    <mergeCell ref="C8:D8"/>
    <mergeCell ref="A4:B4"/>
    <mergeCell ref="G4:H4"/>
    <mergeCell ref="C7:D7"/>
    <mergeCell ref="E7:F7"/>
    <mergeCell ref="A10:H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R999"/>
  <sheetViews>
    <sheetView showGridLines="0" tabSelected="1" workbookViewId="0">
      <pane ySplit="3" topLeftCell="A4" activePane="bottomLeft" state="frozen"/>
      <selection pane="bottomLeft" activeCell="H14" sqref="H14"/>
    </sheetView>
  </sheetViews>
  <sheetFormatPr baseColWidth="8" defaultColWidth="14.44140625" defaultRowHeight="15" customHeight="1"/>
  <cols>
    <col width="40.5546875" customWidth="1" style="59" min="1" max="1"/>
    <col width="14" customWidth="1" style="59" min="2" max="2"/>
    <col width="18.6640625" customWidth="1" style="59" min="3" max="3"/>
    <col width="9.6640625" customWidth="1" style="59" min="4" max="4"/>
    <col width="12.6640625" customWidth="1" style="59" min="5" max="5"/>
    <col width="14.6640625" customWidth="1" style="59" min="6" max="6"/>
    <col width="12.6640625" customWidth="1" style="59" min="7" max="7"/>
    <col width="10.6640625" customWidth="1" style="59" min="8" max="9"/>
    <col width="14.6640625" customWidth="1" style="75" min="10" max="10"/>
    <col width="15.6640625" customWidth="1" style="75" min="11" max="11"/>
    <col width="14" customWidth="1" style="75" min="12" max="12"/>
    <col width="10.6640625" customWidth="1" style="75" min="13" max="13"/>
    <col width="11.6640625" customWidth="1" style="75" min="14" max="14"/>
    <col width="12.6640625" customWidth="1" style="75" min="15" max="15"/>
    <col width="10" customWidth="1" style="75" min="16" max="16"/>
    <col width="8.6640625" customWidth="1" style="75" min="17" max="18"/>
    <col width="8.6640625" customWidth="1" style="59" min="19" max="26"/>
  </cols>
  <sheetData>
    <row r="1" ht="30" customHeight="1" s="59">
      <c r="A1" s="67" t="inlineStr">
        <is>
          <t>Stock Holdings — Data Entry</t>
        </is>
      </c>
    </row>
    <row r="2" ht="36" customHeight="1" s="59">
      <c r="A2" s="68" t="inlineStr">
        <is>
          <t>🔵 Fill BLUE columns only (A–I). Columns J–O are auto-calculated formulas. Add more rows by copying row 53 down. Enter 5Y CAGR &amp; Nifty CAGR as numbers (e.g. 14 for 14%).</t>
        </is>
      </c>
    </row>
    <row r="3" ht="41.25" customHeight="1" s="59">
      <c r="A3" s="20" t="inlineStr">
        <is>
          <t>Scrip Name</t>
        </is>
      </c>
      <c r="B3" s="21" t="inlineStr">
        <is>
          <t>Exchange
(NSE/BSE)</t>
        </is>
      </c>
      <c r="C3" s="21" t="inlineStr">
        <is>
          <t>Sector</t>
        </is>
      </c>
      <c r="D3" s="21" t="inlineStr">
        <is>
          <t>Qty
(Shares)</t>
        </is>
      </c>
      <c r="E3" s="6" t="inlineStr">
        <is>
          <t>Buy / AVG Price
(₹)</t>
        </is>
      </c>
      <c r="F3" s="21" t="inlineStr">
        <is>
          <t>Buy Date
(DD-MM-YYYY)</t>
        </is>
      </c>
      <c r="G3" s="21" t="inlineStr">
        <is>
          <t>Current
Price (₹)</t>
        </is>
      </c>
      <c r="H3" s="21" t="inlineStr">
        <is>
          <t>5Y CAGR
(%)</t>
        </is>
      </c>
      <c r="I3" s="21" t="inlineStr">
        <is>
          <t xml:space="preserve">Nifty 5Y
CAGR (%)	</t>
        </is>
      </c>
      <c r="J3" s="6" t="inlineStr">
        <is>
          <t>Invested
Value (₹)</t>
        </is>
      </c>
      <c r="K3" s="6" t="inlineStr">
        <is>
          <t>Current
Value (₹)</t>
        </is>
      </c>
      <c r="L3" s="6" t="inlineStr">
        <is>
          <t>P&amp;L (₹)</t>
        </is>
      </c>
      <c r="M3" s="6" t="inlineStr">
        <is>
          <t>Return %</t>
        </is>
      </c>
      <c r="N3" s="6" t="inlineStr">
        <is>
          <t>Approx
XIRR %</t>
        </is>
      </c>
      <c r="O3" s="6" t="inlineStr">
        <is>
          <t>Portfolio
Wt %</t>
        </is>
      </c>
      <c r="P3" s="57" t="inlineStr">
        <is>
          <t>Dividends
Received (₹)</t>
        </is>
      </c>
      <c r="Q3" s="57" t="inlineStr">
        <is>
          <t>Tax Flag</t>
        </is>
      </c>
      <c r="R3" s="57" t="inlineStr">
        <is>
          <t>Total Return
(w/ Div)</t>
        </is>
      </c>
    </row>
    <row r="4" ht="16.5" customHeight="1" s="59">
      <c r="A4" s="82" t="inlineStr">
        <is>
          <t>ADANI POWER LTD</t>
        </is>
      </c>
      <c r="B4" s="83" t="inlineStr">
        <is>
          <t>NSE</t>
        </is>
      </c>
      <c r="C4" s="83" t="inlineStr">
        <is>
          <t>Utilities</t>
        </is>
      </c>
      <c r="D4" s="84" t="n">
        <v>90</v>
      </c>
      <c r="E4" s="84" t="n">
        <v>101.3</v>
      </c>
      <c r="F4" s="83" t="inlineStr"/>
      <c r="G4" s="84" t="n">
        <v>227.05</v>
      </c>
      <c r="J4" s="84">
        <f>D4*E4</f>
        <v/>
      </c>
      <c r="K4" s="84">
        <f>D4*G4</f>
        <v/>
      </c>
      <c r="L4" s="84">
        <f>K4-J4</f>
        <v/>
      </c>
      <c r="M4" s="84">
        <f>IF(J4=0,0,L4/J4)</f>
        <v/>
      </c>
      <c r="P4" s="84" t="n">
        <v>0</v>
      </c>
      <c r="Q4" s="83">
        <f>IF(ISBLANK(F4),"",IF(TODAY()-F4&gt;365,"LTCG","STCG"))</f>
        <v/>
      </c>
      <c r="R4" s="84">
        <f>L4+IF(ISNUMBER(P4),P4,0)</f>
        <v/>
      </c>
    </row>
    <row r="5" ht="16.5" customHeight="1" s="59">
      <c r="A5" s="82" t="inlineStr">
        <is>
          <t>COAL INDIA LTD</t>
        </is>
      </c>
      <c r="B5" s="83" t="inlineStr">
        <is>
          <t>NSE</t>
        </is>
      </c>
      <c r="C5" s="83" t="inlineStr">
        <is>
          <t>Energy</t>
        </is>
      </c>
      <c r="D5" s="84" t="n">
        <v>8</v>
      </c>
      <c r="E5" s="84" t="n">
        <v>413.25</v>
      </c>
      <c r="F5" s="83" t="inlineStr"/>
      <c r="G5" s="84" t="n">
        <v>444.85</v>
      </c>
      <c r="J5" s="84">
        <f>D5*E5</f>
        <v/>
      </c>
      <c r="K5" s="84">
        <f>D5*G5</f>
        <v/>
      </c>
      <c r="L5" s="84">
        <f>K5-J5</f>
        <v/>
      </c>
      <c r="M5" s="84">
        <f>IF(J5=0,0,L5/J5)</f>
        <v/>
      </c>
      <c r="P5" s="84" t="n">
        <v>0</v>
      </c>
      <c r="Q5" s="83">
        <f>IF(ISBLANK(F5),"",IF(TODAY()-F5&gt;365,"LTCG","STCG"))</f>
        <v/>
      </c>
      <c r="R5" s="84">
        <f>L5+IF(ISNUMBER(P5),P5,0)</f>
        <v/>
      </c>
    </row>
    <row r="6" ht="16.5" customHeight="1" s="59">
      <c r="A6" s="82" t="inlineStr">
        <is>
          <t>ETERNAL LIMITED</t>
        </is>
      </c>
      <c r="B6" s="83" t="inlineStr">
        <is>
          <t>NSE</t>
        </is>
      </c>
      <c r="C6" s="83" t="inlineStr">
        <is>
          <t>Consumer Discretionary</t>
        </is>
      </c>
      <c r="D6" s="84" t="n">
        <v>26</v>
      </c>
      <c r="E6" s="84" t="n">
        <v>246.68</v>
      </c>
      <c r="F6" s="83" t="inlineStr"/>
      <c r="G6" s="84" t="n">
        <v>259.4</v>
      </c>
      <c r="J6" s="84">
        <f>D6*E6</f>
        <v/>
      </c>
      <c r="K6" s="84">
        <f>D6*G6</f>
        <v/>
      </c>
      <c r="L6" s="84">
        <f>K6-J6</f>
        <v/>
      </c>
      <c r="M6" s="84">
        <f>IF(J6=0,0,L6/J6)</f>
        <v/>
      </c>
      <c r="P6" s="84" t="n">
        <v>0</v>
      </c>
      <c r="Q6" s="83">
        <f>IF(ISBLANK(F6),"",IF(TODAY()-F6&gt;365,"LTCG","STCG"))</f>
        <v/>
      </c>
      <c r="R6" s="84">
        <f>L6+IF(ISNUMBER(P6),P6,0)</f>
        <v/>
      </c>
    </row>
    <row r="7" ht="16.5" customHeight="1" s="59">
      <c r="A7" s="82" t="inlineStr">
        <is>
          <t>INDIAN OIL CORP LTD</t>
        </is>
      </c>
      <c r="B7" s="83" t="inlineStr">
        <is>
          <t>NSE</t>
        </is>
      </c>
      <c r="C7" s="83" t="inlineStr">
        <is>
          <t>Energy</t>
        </is>
      </c>
      <c r="D7" s="84" t="n">
        <v>14</v>
      </c>
      <c r="E7" s="84" t="n">
        <v>115.73</v>
      </c>
      <c r="F7" s="83" t="inlineStr"/>
      <c r="G7" s="84" t="n">
        <v>139.18</v>
      </c>
      <c r="J7" s="84">
        <f>D7*E7</f>
        <v/>
      </c>
      <c r="K7" s="84">
        <f>D7*G7</f>
        <v/>
      </c>
      <c r="L7" s="84">
        <f>K7-J7</f>
        <v/>
      </c>
      <c r="M7" s="84">
        <f>IF(J7=0,0,L7/J7)</f>
        <v/>
      </c>
      <c r="P7" s="84" t="n">
        <v>0</v>
      </c>
      <c r="Q7" s="83">
        <f>IF(ISBLANK(F7),"",IF(TODAY()-F7&gt;365,"LTCG","STCG"))</f>
        <v/>
      </c>
      <c r="R7" s="84">
        <f>L7+IF(ISNUMBER(P7),P7,0)</f>
        <v/>
      </c>
    </row>
    <row r="8" ht="16.5" customHeight="1" s="59">
      <c r="A8" s="82" t="inlineStr">
        <is>
          <t>MAHINDRA &amp; MAHINDRA LTD</t>
        </is>
      </c>
      <c r="B8" s="83" t="inlineStr">
        <is>
          <t>NSE</t>
        </is>
      </c>
      <c r="C8" s="83" t="inlineStr">
        <is>
          <t>Consumer Discretionary</t>
        </is>
      </c>
      <c r="D8" s="84" t="n">
        <v>5</v>
      </c>
      <c r="E8" s="84" t="n">
        <v>2689.81</v>
      </c>
      <c r="F8" s="83" t="inlineStr"/>
      <c r="G8" s="84" t="n">
        <v>3093</v>
      </c>
      <c r="J8" s="84">
        <f>D8*E8</f>
        <v/>
      </c>
      <c r="K8" s="84">
        <f>D8*G8</f>
        <v/>
      </c>
      <c r="L8" s="84">
        <f>K8-J8</f>
        <v/>
      </c>
      <c r="M8" s="84">
        <f>IF(J8=0,0,L8/J8)</f>
        <v/>
      </c>
      <c r="P8" s="84" t="n">
        <v>0</v>
      </c>
      <c r="Q8" s="83">
        <f>IF(ISBLANK(F8),"",IF(TODAY()-F8&gt;365,"LTCG","STCG"))</f>
        <v/>
      </c>
      <c r="R8" s="84">
        <f>L8+IF(ISNUMBER(P8),P8,0)</f>
        <v/>
      </c>
    </row>
    <row r="9" ht="16.5" customHeight="1" s="59">
      <c r="A9" s="82" t="inlineStr">
        <is>
          <t>MOTILALAMC - MONIFTY500</t>
        </is>
      </c>
      <c r="B9" s="83" t="inlineStr">
        <is>
          <t>NSE</t>
        </is>
      </c>
      <c r="C9" s="83" t="inlineStr">
        <is>
          <t>ETF</t>
        </is>
      </c>
      <c r="D9" s="84" t="n">
        <v>65</v>
      </c>
      <c r="E9" s="84" t="n">
        <v>23.05</v>
      </c>
      <c r="F9" s="83" t="inlineStr"/>
      <c r="G9" s="84" t="n">
        <v>23.6</v>
      </c>
      <c r="J9" s="84">
        <f>D9*E9</f>
        <v/>
      </c>
      <c r="K9" s="84">
        <f>D9*G9</f>
        <v/>
      </c>
      <c r="L9" s="84">
        <f>K9-J9</f>
        <v/>
      </c>
      <c r="M9" s="84">
        <f>IF(J9=0,0,L9/J9)</f>
        <v/>
      </c>
      <c r="P9" s="84" t="n">
        <v>0</v>
      </c>
      <c r="Q9" s="83">
        <f>IF(ISBLANK(F9),"",IF(TODAY()-F9&gt;365,"LTCG","STCG"))</f>
        <v/>
      </c>
      <c r="R9" s="84">
        <f>L9+IF(ISNUMBER(P9),P9,0)</f>
        <v/>
      </c>
    </row>
    <row r="10" ht="16.5" customHeight="1" s="59">
      <c r="A10" s="82" t="inlineStr">
        <is>
          <t>NIP IND ETF GOLD BEES</t>
        </is>
      </c>
      <c r="B10" s="83" t="inlineStr">
        <is>
          <t>NSE</t>
        </is>
      </c>
      <c r="C10" s="83" t="inlineStr">
        <is>
          <t>ETF</t>
        </is>
      </c>
      <c r="D10" s="84" t="n">
        <v>14</v>
      </c>
      <c r="E10" s="84" t="n">
        <v>114.82</v>
      </c>
      <c r="F10" s="83" t="inlineStr"/>
      <c r="G10" s="84" t="n">
        <v>116.43</v>
      </c>
      <c r="J10" s="84">
        <f>D10*E10</f>
        <v/>
      </c>
      <c r="K10" s="84">
        <f>D10*G10</f>
        <v/>
      </c>
      <c r="L10" s="84">
        <f>K10-J10</f>
        <v/>
      </c>
      <c r="M10" s="84">
        <f>IF(J10=0,0,L10/J10)</f>
        <v/>
      </c>
      <c r="P10" s="84" t="n">
        <v>0</v>
      </c>
      <c r="Q10" s="83">
        <f>IF(ISBLANK(F10),"",IF(TODAY()-F10&gt;365,"LTCG","STCG"))</f>
        <v/>
      </c>
      <c r="R10" s="84">
        <f>L10+IF(ISNUMBER(P10),P10,0)</f>
        <v/>
      </c>
    </row>
    <row r="11" ht="16.5" customHeight="1" s="59">
      <c r="A11" s="82" t="inlineStr">
        <is>
          <t>TATA MOTORS LIMITED</t>
        </is>
      </c>
      <c r="B11" s="83" t="inlineStr">
        <is>
          <t>NSE</t>
        </is>
      </c>
      <c r="C11" s="83" t="inlineStr">
        <is>
          <t>Consumer Discretionary</t>
        </is>
      </c>
      <c r="D11" s="84" t="n">
        <v>5</v>
      </c>
      <c r="E11" s="84" t="n">
        <v>194.81</v>
      </c>
      <c r="F11" s="83" t="inlineStr"/>
      <c r="G11" s="84" t="n">
        <v>423.1</v>
      </c>
      <c r="J11" s="84">
        <f>D11*E11</f>
        <v/>
      </c>
      <c r="K11" s="84">
        <f>D11*G11</f>
        <v/>
      </c>
      <c r="L11" s="84">
        <f>K11-J11</f>
        <v/>
      </c>
      <c r="M11" s="84">
        <f>IF(J11=0,0,L11/J11)</f>
        <v/>
      </c>
      <c r="P11" s="84" t="n">
        <v>0</v>
      </c>
      <c r="Q11" s="83">
        <f>IF(ISBLANK(F11),"",IF(TODAY()-F11&gt;365,"LTCG","STCG"))</f>
        <v/>
      </c>
      <c r="R11" s="84">
        <f>L11+IF(ISNUMBER(P11),P11,0)</f>
        <v/>
      </c>
    </row>
    <row r="12" ht="16.5" customHeight="1" s="59">
      <c r="A12" s="82" t="inlineStr">
        <is>
          <t>TATA MOTORS PASS VEH LTD</t>
        </is>
      </c>
      <c r="B12" s="83" t="inlineStr">
        <is>
          <t>NSE</t>
        </is>
      </c>
      <c r="C12" s="83" t="inlineStr">
        <is>
          <t>Consumer Discretionary</t>
        </is>
      </c>
      <c r="D12" s="84" t="n">
        <v>5</v>
      </c>
      <c r="E12" s="84" t="n">
        <v>430.58</v>
      </c>
      <c r="F12" s="83" t="inlineStr"/>
      <c r="G12" s="84" t="n">
        <v>345.05</v>
      </c>
      <c r="J12" s="84">
        <f>D12*E12</f>
        <v/>
      </c>
      <c r="K12" s="84">
        <f>D12*G12</f>
        <v/>
      </c>
      <c r="L12" s="84">
        <f>K12-J12</f>
        <v/>
      </c>
      <c r="M12" s="84">
        <f>IF(J12=0,0,L12/J12)</f>
        <v/>
      </c>
      <c r="P12" s="84" t="n">
        <v>0</v>
      </c>
      <c r="Q12" s="83">
        <f>IF(ISBLANK(F12),"",IF(TODAY()-F12&gt;365,"LTCG","STCG"))</f>
        <v/>
      </c>
      <c r="R12" s="84">
        <f>L12+IF(ISNUMBER(P12),P12,0)</f>
        <v/>
      </c>
    </row>
    <row r="13" ht="16.5" customHeight="1" s="59">
      <c r="A13" s="82" t="inlineStr">
        <is>
          <t>TATA STEEL LIMITED</t>
        </is>
      </c>
      <c r="B13" s="83" t="inlineStr">
        <is>
          <t>NSE</t>
        </is>
      </c>
      <c r="C13" s="83" t="inlineStr">
        <is>
          <t>Materials</t>
        </is>
      </c>
      <c r="D13" s="84" t="n">
        <v>4</v>
      </c>
      <c r="E13" s="84" t="n">
        <v>135.85</v>
      </c>
      <c r="F13" s="83" t="inlineStr"/>
      <c r="G13" s="84" t="n">
        <v>189.57</v>
      </c>
      <c r="J13" s="84">
        <f>D13*E13</f>
        <v/>
      </c>
      <c r="K13" s="84">
        <f>D13*G13</f>
        <v/>
      </c>
      <c r="L13" s="84">
        <f>K13-J13</f>
        <v/>
      </c>
      <c r="M13" s="84">
        <f>IF(J13=0,0,L13/J13)</f>
        <v/>
      </c>
      <c r="P13" s="84" t="n">
        <v>0</v>
      </c>
      <c r="Q13" s="83">
        <f>IF(ISBLANK(F13),"",IF(TODAY()-F13&gt;365,"LTCG","STCG"))</f>
        <v/>
      </c>
      <c r="R13" s="84">
        <f>L13+IF(ISNUMBER(P13),P13,0)</f>
        <v/>
      </c>
    </row>
    <row r="14" ht="16.5" customHeight="1" s="59">
      <c r="A14" s="82" t="inlineStr">
        <is>
          <t>TATAAML-TATAGOLD</t>
        </is>
      </c>
      <c r="B14" s="83" t="inlineStr">
        <is>
          <t>NSE</t>
        </is>
      </c>
      <c r="C14" s="83" t="inlineStr">
        <is>
          <t>ETF</t>
        </is>
      </c>
      <c r="D14" s="84" t="n">
        <v>104</v>
      </c>
      <c r="E14" s="84" t="n">
        <v>14.62</v>
      </c>
      <c r="F14" s="83" t="inlineStr"/>
      <c r="G14" s="84" t="n">
        <v>13.68</v>
      </c>
      <c r="J14" s="84">
        <f>D14*E14</f>
        <v/>
      </c>
      <c r="K14" s="84">
        <f>D14*G14</f>
        <v/>
      </c>
      <c r="L14" s="84">
        <f>K14-J14</f>
        <v/>
      </c>
      <c r="M14" s="84">
        <f>IF(J14=0,0,L14/J14)</f>
        <v/>
      </c>
      <c r="P14" s="84" t="n">
        <v>0</v>
      </c>
      <c r="Q14" s="83">
        <f>IF(ISBLANK(F14),"",IF(TODAY()-F14&gt;365,"LTCG","STCG"))</f>
        <v/>
      </c>
      <c r="R14" s="84">
        <f>L14+IF(ISNUMBER(P14),P14,0)</f>
        <v/>
      </c>
    </row>
    <row r="15" ht="16.5" customHeight="1" s="59">
      <c r="A15" s="82" t="inlineStr">
        <is>
          <t>VEDANTA LIMITED</t>
        </is>
      </c>
      <c r="B15" s="83" t="inlineStr">
        <is>
          <t>NSE</t>
        </is>
      </c>
      <c r="C15" s="83" t="inlineStr">
        <is>
          <t>Materials</t>
        </is>
      </c>
      <c r="D15" s="84" t="n">
        <v>18</v>
      </c>
      <c r="E15" s="84" t="n">
        <v>467.7</v>
      </c>
      <c r="F15" s="83" t="inlineStr"/>
      <c r="G15" s="84" t="n">
        <v>284.55</v>
      </c>
      <c r="J15" s="84">
        <f>D15*E15</f>
        <v/>
      </c>
      <c r="K15" s="84">
        <f>D15*G15</f>
        <v/>
      </c>
      <c r="L15" s="84">
        <f>K15-J15</f>
        <v/>
      </c>
      <c r="M15" s="84">
        <f>IF(J15=0,0,L15/J15)</f>
        <v/>
      </c>
      <c r="P15" s="84" t="n">
        <v>0</v>
      </c>
      <c r="Q15" s="83">
        <f>IF(ISBLANK(F15),"",IF(TODAY()-F15&gt;365,"LTCG","STCG"))</f>
        <v/>
      </c>
      <c r="R15" s="84">
        <f>L15+IF(ISNUMBER(P15),P15,0)</f>
        <v/>
      </c>
    </row>
    <row r="16" ht="16.5" customHeight="1" s="59">
      <c r="A16" s="82" t="inlineStr">
        <is>
          <t>VODAFONE IDEA LIMITED</t>
        </is>
      </c>
      <c r="B16" s="83" t="inlineStr">
        <is>
          <t>NSE</t>
        </is>
      </c>
      <c r="C16" s="83" t="inlineStr">
        <is>
          <t>Communication</t>
        </is>
      </c>
      <c r="D16" s="84" t="n">
        <v>15</v>
      </c>
      <c r="E16" s="84" t="n">
        <v>9.220000000000001</v>
      </c>
      <c r="F16" s="83" t="inlineStr"/>
      <c r="G16" s="84" t="n">
        <v>14.43</v>
      </c>
      <c r="J16" s="84">
        <f>D16*E16</f>
        <v/>
      </c>
      <c r="K16" s="84">
        <f>D16*G16</f>
        <v/>
      </c>
      <c r="L16" s="84">
        <f>K16-J16</f>
        <v/>
      </c>
      <c r="M16" s="84">
        <f>IF(J16=0,0,L16/J16)</f>
        <v/>
      </c>
      <c r="P16" s="84" t="n">
        <v>0</v>
      </c>
      <c r="Q16" s="83">
        <f>IF(ISBLANK(F16),"",IF(TODAY()-F16&gt;365,"LTCG","STCG"))</f>
        <v/>
      </c>
      <c r="R16" s="84">
        <f>L16+IF(ISNUMBER(P16),P16,0)</f>
        <v/>
      </c>
    </row>
    <row r="17" ht="16.5" customHeight="1" s="59"/>
    <row r="18" ht="16.5" customHeight="1" s="59"/>
    <row r="19" ht="16.5" customHeight="1" s="59"/>
    <row r="20" ht="16.5" customHeight="1" s="59"/>
    <row r="21" ht="16.5" customHeight="1" s="59"/>
    <row r="22" ht="16.5" customHeight="1" s="59"/>
    <row r="23" ht="16.5" customHeight="1" s="59"/>
    <row r="24" ht="16.5" customHeight="1" s="59"/>
    <row r="25" ht="16.5" customHeight="1" s="59"/>
    <row r="26" ht="16.5" customHeight="1" s="59"/>
    <row r="27" ht="16.5" customHeight="1" s="59"/>
    <row r="28" ht="16.5" customHeight="1" s="59"/>
    <row r="29" ht="16.5" customHeight="1" s="59"/>
    <row r="30" ht="16.5" customHeight="1" s="59"/>
    <row r="31" ht="16.5" customHeight="1" s="59"/>
    <row r="32" ht="16.5" customHeight="1" s="59"/>
    <row r="33" ht="16.5" customHeight="1" s="59"/>
    <row r="34" ht="16.5" customHeight="1" s="59"/>
    <row r="35" ht="16.5" customHeight="1" s="59"/>
    <row r="36" ht="16.5" customHeight="1" s="59"/>
    <row r="37" ht="16.5" customHeight="1" s="59"/>
    <row r="38" ht="16.5" customHeight="1" s="59"/>
    <row r="39" ht="16.5" customHeight="1" s="59"/>
    <row r="40" ht="16.5" customHeight="1" s="59"/>
    <row r="41" ht="16.5" customHeight="1" s="59"/>
    <row r="42" ht="16.5" customHeight="1" s="59"/>
    <row r="43" ht="16.5" customHeight="1" s="59"/>
    <row r="44" ht="16.5" customHeight="1" s="59"/>
    <row r="45" ht="16.5" customHeight="1" s="59"/>
    <row r="46" ht="16.5" customHeight="1" s="59"/>
    <row r="47" ht="16.5" customHeight="1" s="59"/>
    <row r="48" ht="16.5" customHeight="1" s="59"/>
    <row r="49" ht="16.5" customHeight="1" s="59"/>
    <row r="50" ht="16.5" customHeight="1" s="59"/>
    <row r="51" ht="16.5" customHeight="1" s="59"/>
    <row r="52" ht="16.5" customHeight="1" s="59"/>
    <row r="53" ht="16.5" customHeight="1" s="59"/>
    <row r="54" ht="19.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O1"/>
    <mergeCell ref="A2:O2"/>
  </mergeCells>
  <dataValidations count="1">
    <dataValidation sqref="B4:B53" showDropDown="0" showInputMessage="0" showErrorMessage="1" allowBlank="1" type="list">
      <formula1>"NSE,BSE,NSE/BSE"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Q99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22.6640625" customWidth="1" style="59" min="4" max="4"/>
    <col width="10.6640625" customWidth="1" style="59" min="5" max="6"/>
    <col width="12.6640625" customWidth="1" style="59" min="7" max="8"/>
    <col width="14.6640625" customWidth="1" style="59" min="9" max="9"/>
    <col width="10.6640625" customWidth="1" style="59" min="10" max="10"/>
    <col width="14.6640625" customWidth="1" style="59" min="11" max="12"/>
    <col width="12.6640625" customWidth="1" style="59" min="13" max="13"/>
    <col width="13.6640625" customWidth="1" style="59" min="14" max="14"/>
    <col width="14.6640625" customWidth="1" style="59" min="15" max="15"/>
    <col width="12.6640625" customWidth="1" style="59" min="16" max="16"/>
    <col width="8.6640625" customWidth="1" style="59" min="17" max="26"/>
  </cols>
  <sheetData>
    <row r="1" ht="30" customHeight="1" s="59">
      <c r="A1" s="67" t="inlineStr">
        <is>
          <t>Mutual Fund Holdings — Data Entry</t>
        </is>
      </c>
    </row>
    <row r="2" ht="36" customHeight="1" s="59">
      <c r="A2" s="68" t="inlineStr">
        <is>
          <t>🔵 Fill BLUE columns only (A–J). Columns K–P are auto-calculated. Enter benchmark 1Y return as a number (e.g. 15 for 15%). Get current NAV from AMC site / MFCentral / CAMS.</t>
        </is>
      </c>
    </row>
    <row r="3" ht="30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Sub-Category
(Large/Mid/Small/Hybrid/Debt)</t>
        </is>
      </c>
      <c r="E3" s="21" t="inlineStr">
        <is>
          <t>Units
Held</t>
        </is>
      </c>
      <c r="F3" s="21" t="inlineStr">
        <is>
          <t>Buy NAV
(₹)</t>
        </is>
      </c>
      <c r="G3" s="21" t="inlineStr">
        <is>
          <t>Buy Date
(DD-MM-YYYY)</t>
        </is>
      </c>
      <c r="H3" s="21" t="inlineStr">
        <is>
          <t>Current
NAV (₹)</t>
        </is>
      </c>
      <c r="I3" s="21" t="inlineStr">
        <is>
          <t>Benchmark
1Y Return %</t>
        </is>
      </c>
      <c r="J3" s="21" t="inlineStr">
        <is>
          <t>Expense
Ratio %</t>
        </is>
      </c>
      <c r="K3" s="21" t="inlineStr">
        <is>
          <t>Invested
Value (₹)</t>
        </is>
      </c>
      <c r="L3" s="21" t="inlineStr">
        <is>
          <t>Current
Value (₹)</t>
        </is>
      </c>
      <c r="M3" s="21" t="inlineStr">
        <is>
          <t>P&amp;L (₹)</t>
        </is>
      </c>
      <c r="N3" s="21" t="inlineStr">
        <is>
          <t>Absolute
Return %</t>
        </is>
      </c>
      <c r="O3" s="21" t="inlineStr">
        <is>
          <t>CAGR
(Annualised) %</t>
        </is>
      </c>
      <c r="P3" s="21" t="inlineStr">
        <is>
          <t>Portfolio
Weight %</t>
        </is>
      </c>
      <c r="Q3" s="57" t="inlineStr">
        <is>
          <t>Tax Flag</t>
        </is>
      </c>
    </row>
    <row r="4" ht="16.5" customHeight="1" s="59"/>
    <row r="5" ht="16.5" customHeight="1" s="59"/>
    <row r="6" ht="16.5" customHeight="1" s="59"/>
    <row r="7" ht="16.5" customHeight="1" s="59"/>
    <row r="8" ht="16.5" customHeight="1" s="59"/>
    <row r="9" ht="16.5" customHeight="1" s="59"/>
    <row r="10" ht="16.5" customHeight="1" s="59"/>
    <row r="11" ht="16.5" customHeight="1" s="59"/>
    <row r="12" ht="16.5" customHeight="1" s="59"/>
    <row r="13" ht="16.5" customHeight="1" s="59"/>
    <row r="14" ht="16.5" customHeight="1" s="59"/>
    <row r="15" ht="16.5" customHeight="1" s="59"/>
    <row r="16" ht="16.5" customHeight="1" s="59"/>
    <row r="17" ht="16.5" customHeight="1" s="59"/>
    <row r="18" ht="16.5" customHeight="1" s="59"/>
    <row r="19" ht="16.5" customHeight="1" s="59"/>
    <row r="20" ht="16.5" customHeight="1" s="59"/>
    <row r="21" ht="16.5" customHeight="1" s="59"/>
    <row r="22" ht="16.5" customHeight="1" s="59"/>
    <row r="23" ht="16.5" customHeight="1" s="59"/>
    <row r="24" ht="16.5" customHeight="1" s="59"/>
    <row r="25" ht="16.5" customHeight="1" s="59"/>
    <row r="26" ht="16.5" customHeight="1" s="59"/>
    <row r="27" ht="16.5" customHeight="1" s="59"/>
    <row r="28" ht="16.5" customHeight="1" s="59"/>
    <row r="29" ht="16.5" customHeight="1" s="59"/>
    <row r="30" ht="16.5" customHeight="1" s="59"/>
    <row r="31" ht="16.5" customHeight="1" s="59"/>
    <row r="32" ht="16.5" customHeight="1" s="59"/>
    <row r="33" ht="16.5" customHeight="1" s="59"/>
    <row r="34" ht="16.5" customHeight="1" s="59"/>
    <row r="35" ht="16.5" customHeight="1" s="59"/>
    <row r="36" ht="16.5" customHeight="1" s="59"/>
    <row r="37" ht="16.5" customHeight="1" s="59"/>
    <row r="38" ht="16.5" customHeight="1" s="59"/>
    <row r="39" ht="16.5" customHeight="1" s="59"/>
    <row r="40" ht="16.5" customHeight="1" s="59"/>
    <row r="41" ht="16.5" customHeight="1" s="59"/>
    <row r="42" ht="16.5" customHeight="1" s="59"/>
    <row r="43" ht="16.5" customHeight="1" s="59"/>
    <row r="44" ht="19.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P1"/>
    <mergeCell ref="A2:P2"/>
  </mergeCells>
  <dataValidations count="1">
    <dataValidation sqref="C4:C43" showDropDown="0" showInputMessage="0" showErrorMessage="1" allowBlank="1" type="list">
      <formula1>"Large Cap,Mid Cap,Small Cap,Flexi Cap,Multi Cap,ELSS,Hybrid,Debt,Index Fund,International,Sectoral/Thematic"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M5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36.6640625" customWidth="1" style="59" min="1" max="1"/>
    <col width="18.6640625" customWidth="1" style="59" min="2" max="2"/>
    <col width="9.6640625" customWidth="1" style="59" min="3" max="3"/>
    <col width="14.6640625" customWidth="1" style="59" min="4" max="5"/>
    <col width="12.6640625" customWidth="1" style="59" min="6" max="6"/>
    <col width="10.6640625" customWidth="1" style="59" min="7" max="7"/>
    <col width="11.6640625" customWidth="1" style="59" min="8" max="8"/>
    <col width="12.6640625" customWidth="1" style="59" min="9" max="9"/>
    <col width="14.6640625" customWidth="1" style="59" min="10" max="11"/>
    <col width="16.6640625" customWidth="1" style="59" min="12" max="12"/>
    <col width="30.6640625" customWidth="1" style="59" min="13" max="13"/>
    <col width="8.6640625" customWidth="1" style="59" min="14" max="26"/>
  </cols>
  <sheetData>
    <row r="1" ht="30" customHeight="1" s="59">
      <c r="A1" s="67" t="inlineStr">
        <is>
          <t>Stock Portfolio — Automated Analysis</t>
        </is>
      </c>
    </row>
    <row r="2" ht="30" customHeight="1" s="59">
      <c r="A2" s="68" t="inlineStr">
        <is>
          <t>⚙️ All columns auto-calculated from 📥 Stock Data Input. Do NOT edit this sheet. Refresh by updating prices in the input sheet.</t>
        </is>
      </c>
    </row>
    <row r="3" ht="27.75" customHeight="1" s="59">
      <c r="A3" s="21" t="inlineStr">
        <is>
          <t>Scrip Name</t>
        </is>
      </c>
      <c r="B3" s="21" t="inlineStr">
        <is>
          <t>Sector</t>
        </is>
      </c>
      <c r="C3" s="21" t="inlineStr">
        <is>
          <t>Qty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Return %</t>
        </is>
      </c>
      <c r="H3" s="21" t="inlineStr">
        <is>
          <t>Ann. XIRR %</t>
        </is>
      </c>
      <c r="I3" s="21" t="inlineStr">
        <is>
          <t>Portfolio Wt%</t>
        </is>
      </c>
      <c r="J3" s="21" t="inlineStr">
        <is>
          <t>vs 5Y CAGR</t>
        </is>
      </c>
      <c r="K3" s="21" t="inlineStr">
        <is>
          <t>vs Nifty 5Y</t>
        </is>
      </c>
      <c r="L3" s="21" t="inlineStr">
        <is>
          <t>Signal</t>
        </is>
      </c>
      <c r="M3" s="21" t="inlineStr">
        <is>
          <t>Recommended Action</t>
        </is>
      </c>
    </row>
    <row r="4" ht="18" customHeight="1" s="59">
      <c r="A4" s="73">
        <f>'📥 Stock Data Input'!A4</f>
        <v/>
      </c>
      <c r="B4" s="73">
        <f>'📥 Stock Data Input'!C4</f>
        <v/>
      </c>
      <c r="C4" s="41">
        <f>'📥 Stock Data Input'!D4</f>
        <v/>
      </c>
      <c r="D4" s="27">
        <f>'📥 Stock Data Input'!J4</f>
        <v/>
      </c>
      <c r="E4" s="27">
        <f>'📥 Stock Data Input'!K4</f>
        <v/>
      </c>
      <c r="F4" s="27">
        <f>'📥 Stock Data Input'!L4</f>
        <v/>
      </c>
      <c r="G4" s="28">
        <f>'📥 Stock Data Input'!M4</f>
        <v/>
      </c>
      <c r="H4" s="28">
        <f>'📥 Stock Data Input'!N4</f>
        <v/>
      </c>
      <c r="I4" s="28">
        <f>'📥 Stock Data Input'!O4</f>
        <v/>
      </c>
      <c r="J4" s="42">
        <f>IFERROR(IF('📥 Stock Data Input'!H4="","N/A",IF('📥 Stock Data Input'!N4&gt;'📥 Stock Data Input'!H4/100,"✅ Outperform","❌ Underperform")),"N/A")</f>
        <v/>
      </c>
      <c r="K4" s="42">
        <f>IFERROR(IF('📥 Stock Data Input'!I4="","N/A",IF('📥 Stock Data Input'!N4&gt;'📥 Stock Data Input'!I4/100,"✅ Beat Nifty","❌ Lag Nifty")),"N/A")</f>
        <v/>
      </c>
      <c r="L4" s="42">
        <f>IFERROR(IF('📥 Stock Data Input'!A4="","",IF('📥 Stock Data Input'!K4&lt;5000,"⚠️ Tiny Position",IF('📥 Stock Data Input'!N4&lt;0,"🔴 In Loss",IF(AND('📥 Stock Data Input'!I4&lt;&gt;"",'📥 Stock Data Input'!N4&lt;'📥 Stock Data Input'!I4/100),"🟡 Underperform",IF('📥 Stock Data Input'!N4&gt;0.2,"🟢 Strong","🔵 Hold"))))),"")</f>
        <v/>
      </c>
      <c r="M4" s="43">
        <f>IFERROR(IF('📥 Stock Data Input'!A4="","",IF('📥 Stock Data Input'!K4&lt;5000,"Add qty meaningfully or exit — position too small to matter",IF('📥 Stock Data Input'!N4&lt;-0.2,"Consider exit — loss &gt;20%; re-evaluate thesis",IF(AND('📥 Stock Data Input'!I4&lt;&gt;"",'📥 Stock Data Input'!N4&lt;'📥 Stock Data Input'!I4/100),"Lagging benchmark — review thesis; rotate if 2+ years",IF('📥 Stock Data Input'!N4&gt;0.2,"Strong compounder — hold; consider adding on dips","Hold — monitor quarterly; no immediate action"))))),"")</f>
        <v/>
      </c>
    </row>
    <row r="5" ht="18" customHeight="1" s="59">
      <c r="A5" s="44">
        <f>'📥 Stock Data Input'!A5</f>
        <v/>
      </c>
      <c r="B5" s="44">
        <f>'📥 Stock Data Input'!C5</f>
        <v/>
      </c>
      <c r="C5" s="45">
        <f>'📥 Stock Data Input'!D5</f>
        <v/>
      </c>
      <c r="D5" s="34">
        <f>'📥 Stock Data Input'!J5</f>
        <v/>
      </c>
      <c r="E5" s="34">
        <f>'📥 Stock Data Input'!K5</f>
        <v/>
      </c>
      <c r="F5" s="34">
        <f>'📥 Stock Data Input'!L5</f>
        <v/>
      </c>
      <c r="G5" s="35">
        <f>'📥 Stock Data Input'!M5</f>
        <v/>
      </c>
      <c r="H5" s="35">
        <f>'📥 Stock Data Input'!N5</f>
        <v/>
      </c>
      <c r="I5" s="35">
        <f>'📥 Stock Data Input'!O5</f>
        <v/>
      </c>
      <c r="J5" s="46">
        <f>IFERROR(IF('📥 Stock Data Input'!H5="","N/A",IF('📥 Stock Data Input'!N5&gt;'📥 Stock Data Input'!H5/100,"✅ Outperform","❌ Underperform")),"N/A")</f>
        <v/>
      </c>
      <c r="K5" s="46">
        <f>IFERROR(IF('📥 Stock Data Input'!I5="","N/A",IF('📥 Stock Data Input'!N5&gt;'📥 Stock Data Input'!I5/100,"✅ Beat Nifty","❌ Lag Nifty")),"N/A")</f>
        <v/>
      </c>
      <c r="L5" s="46">
        <f>IFERROR(IF('📥 Stock Data Input'!A5="","",IF('📥 Stock Data Input'!K5&lt;5000,"⚠️ Tiny Position",IF('📥 Stock Data Input'!N5&lt;0,"🔴 In Loss",IF(AND('📥 Stock Data Input'!I5&lt;&gt;"",'📥 Stock Data Input'!N5&lt;'📥 Stock Data Input'!I5/100),"🟡 Underperform",IF('📥 Stock Data Input'!N5&gt;0.2,"🟢 Strong","🔵 Hold"))))),"")</f>
        <v/>
      </c>
      <c r="M5" s="47">
        <f>IFERROR(IF('📥 Stock Data Input'!A5="","",IF('📥 Stock Data Input'!K5&lt;5000,"Add qty meaningfully or exit — position too small to matter",IF('📥 Stock Data Input'!N5&lt;-0.2,"Consider exit — loss &gt;20%; re-evaluate thesis",IF(AND('📥 Stock Data Input'!I5&lt;&gt;"",'📥 Stock Data Input'!N5&lt;'📥 Stock Data Input'!I5/100),"Lagging benchmark — review thesis; rotate if 2+ years",IF('📥 Stock Data Input'!N5&gt;0.2,"Strong compounder — hold; consider adding on dips","Hold — monitor quarterly; no immediate action"))))),"")</f>
        <v/>
      </c>
    </row>
    <row r="6" ht="18" customHeight="1" s="59">
      <c r="A6" s="73">
        <f>'📥 Stock Data Input'!A6</f>
        <v/>
      </c>
      <c r="B6" s="73">
        <f>'📥 Stock Data Input'!C6</f>
        <v/>
      </c>
      <c r="C6" s="41">
        <f>'📥 Stock Data Input'!D6</f>
        <v/>
      </c>
      <c r="D6" s="27">
        <f>'📥 Stock Data Input'!J6</f>
        <v/>
      </c>
      <c r="E6" s="27">
        <f>'📥 Stock Data Input'!K6</f>
        <v/>
      </c>
      <c r="F6" s="27">
        <f>'📥 Stock Data Input'!L6</f>
        <v/>
      </c>
      <c r="G6" s="28">
        <f>'📥 Stock Data Input'!M6</f>
        <v/>
      </c>
      <c r="H6" s="28">
        <f>'📥 Stock Data Input'!N6</f>
        <v/>
      </c>
      <c r="I6" s="28">
        <f>'📥 Stock Data Input'!O6</f>
        <v/>
      </c>
      <c r="J6" s="42">
        <f>IFERROR(IF('📥 Stock Data Input'!H6="","N/A",IF('📥 Stock Data Input'!N6&gt;'📥 Stock Data Input'!H6/100,"✅ Outperform","❌ Underperform")),"N/A")</f>
        <v/>
      </c>
      <c r="K6" s="42">
        <f>IFERROR(IF('📥 Stock Data Input'!I6="","N/A",IF('📥 Stock Data Input'!N6&gt;'📥 Stock Data Input'!I6/100,"✅ Beat Nifty","❌ Lag Nifty")),"N/A")</f>
        <v/>
      </c>
      <c r="L6" s="42">
        <f>IFERROR(IF('📥 Stock Data Input'!A6="","",IF('📥 Stock Data Input'!K6&lt;5000,"⚠️ Tiny Position",IF('📥 Stock Data Input'!N6&lt;0,"🔴 In Loss",IF(AND('📥 Stock Data Input'!I6&lt;&gt;"",'📥 Stock Data Input'!N6&lt;'📥 Stock Data Input'!I6/100),"🟡 Underperform",IF('📥 Stock Data Input'!N6&gt;0.2,"🟢 Strong","🔵 Hold"))))),"")</f>
        <v/>
      </c>
      <c r="M6" s="43">
        <f>IFERROR(IF('📥 Stock Data Input'!A6="","",IF('📥 Stock Data Input'!K6&lt;5000,"Add qty meaningfully or exit — position too small to matter",IF('📥 Stock Data Input'!N6&lt;-0.2,"Consider exit — loss &gt;20%; re-evaluate thesis",IF(AND('📥 Stock Data Input'!I6&lt;&gt;"",'📥 Stock Data Input'!N6&lt;'📥 Stock Data Input'!I6/100),"Lagging benchmark — review thesis; rotate if 2+ years",IF('📥 Stock Data Input'!N6&gt;0.2,"Strong compounder — hold; consider adding on dips","Hold — monitor quarterly; no immediate action"))))),"")</f>
        <v/>
      </c>
    </row>
    <row r="7" ht="18" customHeight="1" s="59">
      <c r="A7" s="44">
        <f>'📥 Stock Data Input'!A7</f>
        <v/>
      </c>
      <c r="B7" s="44">
        <f>'📥 Stock Data Input'!C7</f>
        <v/>
      </c>
      <c r="C7" s="45">
        <f>'📥 Stock Data Input'!D7</f>
        <v/>
      </c>
      <c r="D7" s="34">
        <f>'📥 Stock Data Input'!J7</f>
        <v/>
      </c>
      <c r="E7" s="34">
        <f>'📥 Stock Data Input'!K7</f>
        <v/>
      </c>
      <c r="F7" s="34">
        <f>'📥 Stock Data Input'!L7</f>
        <v/>
      </c>
      <c r="G7" s="35">
        <f>'📥 Stock Data Input'!M7</f>
        <v/>
      </c>
      <c r="H7" s="35">
        <f>'📥 Stock Data Input'!N7</f>
        <v/>
      </c>
      <c r="I7" s="35">
        <f>'📥 Stock Data Input'!O7</f>
        <v/>
      </c>
      <c r="J7" s="46">
        <f>IFERROR(IF('📥 Stock Data Input'!H7="","N/A",IF('📥 Stock Data Input'!N7&gt;'📥 Stock Data Input'!H7/100,"✅ Outperform","❌ Underperform")),"N/A")</f>
        <v/>
      </c>
      <c r="K7" s="46">
        <f>IFERROR(IF('📥 Stock Data Input'!I7="","N/A",IF('📥 Stock Data Input'!N7&gt;'📥 Stock Data Input'!I7/100,"✅ Beat Nifty","❌ Lag Nifty")),"N/A")</f>
        <v/>
      </c>
      <c r="L7" s="46">
        <f>IFERROR(IF('📥 Stock Data Input'!A7="","",IF('📥 Stock Data Input'!K7&lt;5000,"⚠️ Tiny Position",IF('📥 Stock Data Input'!N7&lt;0,"🔴 In Loss",IF(AND('📥 Stock Data Input'!I7&lt;&gt;"",'📥 Stock Data Input'!N7&lt;'📥 Stock Data Input'!I7/100),"🟡 Underperform",IF('📥 Stock Data Input'!N7&gt;0.2,"🟢 Strong","🔵 Hold"))))),"")</f>
        <v/>
      </c>
      <c r="M7" s="47">
        <f>IFERROR(IF('📥 Stock Data Input'!A7="","",IF('📥 Stock Data Input'!K7&lt;5000,"Add qty meaningfully or exit — position too small to matter",IF('📥 Stock Data Input'!N7&lt;-0.2,"Consider exit — loss &gt;20%; re-evaluate thesis",IF(AND('📥 Stock Data Input'!I7&lt;&gt;"",'📥 Stock Data Input'!N7&lt;'📥 Stock Data Input'!I7/100),"Lagging benchmark — review thesis; rotate if 2+ years",IF('📥 Stock Data Input'!N7&gt;0.2,"Strong compounder — hold; consider adding on dips","Hold — monitor quarterly; no immediate action"))))),"")</f>
        <v/>
      </c>
    </row>
    <row r="8" ht="18" customHeight="1" s="59">
      <c r="A8" s="73">
        <f>'📥 Stock Data Input'!A8</f>
        <v/>
      </c>
      <c r="B8" s="73">
        <f>'📥 Stock Data Input'!C8</f>
        <v/>
      </c>
      <c r="C8" s="41">
        <f>'📥 Stock Data Input'!D8</f>
        <v/>
      </c>
      <c r="D8" s="27">
        <f>'📥 Stock Data Input'!J8</f>
        <v/>
      </c>
      <c r="E8" s="27">
        <f>'📥 Stock Data Input'!K8</f>
        <v/>
      </c>
      <c r="F8" s="27">
        <f>'📥 Stock Data Input'!L8</f>
        <v/>
      </c>
      <c r="G8" s="28">
        <f>'📥 Stock Data Input'!M8</f>
        <v/>
      </c>
      <c r="H8" s="28">
        <f>'📥 Stock Data Input'!N8</f>
        <v/>
      </c>
      <c r="I8" s="28">
        <f>'📥 Stock Data Input'!O8</f>
        <v/>
      </c>
      <c r="J8" s="42">
        <f>IFERROR(IF('📥 Stock Data Input'!H8="","N/A",IF('📥 Stock Data Input'!N8&gt;'📥 Stock Data Input'!H8/100,"✅ Outperform","❌ Underperform")),"N/A")</f>
        <v/>
      </c>
      <c r="K8" s="42">
        <f>IFERROR(IF('📥 Stock Data Input'!I8="","N/A",IF('📥 Stock Data Input'!N8&gt;'📥 Stock Data Input'!I8/100,"✅ Beat Nifty","❌ Lag Nifty")),"N/A")</f>
        <v/>
      </c>
      <c r="L8" s="42">
        <f>IFERROR(IF('📥 Stock Data Input'!A8="","",IF('📥 Stock Data Input'!K8&lt;5000,"⚠️ Tiny Position",IF('📥 Stock Data Input'!N8&lt;0,"🔴 In Loss",IF(AND('📥 Stock Data Input'!I8&lt;&gt;"",'📥 Stock Data Input'!N8&lt;'📥 Stock Data Input'!I8/100),"🟡 Underperform",IF('📥 Stock Data Input'!N8&gt;0.2,"🟢 Strong","🔵 Hold"))))),"")</f>
        <v/>
      </c>
      <c r="M8" s="43">
        <f>IFERROR(IF('📥 Stock Data Input'!A8="","",IF('📥 Stock Data Input'!K8&lt;5000,"Add qty meaningfully or exit — position too small to matter",IF('📥 Stock Data Input'!N8&lt;-0.2,"Consider exit — loss &gt;20%; re-evaluate thesis",IF(AND('📥 Stock Data Input'!I8&lt;&gt;"",'📥 Stock Data Input'!N8&lt;'📥 Stock Data Input'!I8/100),"Lagging benchmark — review thesis; rotate if 2+ years",IF('📥 Stock Data Input'!N8&gt;0.2,"Strong compounder — hold; consider adding on dips","Hold — monitor quarterly; no immediate action"))))),"")</f>
        <v/>
      </c>
    </row>
    <row r="9" ht="18" customHeight="1" s="59">
      <c r="A9" s="44">
        <f>'📥 Stock Data Input'!A9</f>
        <v/>
      </c>
      <c r="B9" s="44">
        <f>'📥 Stock Data Input'!C9</f>
        <v/>
      </c>
      <c r="C9" s="45">
        <f>'📥 Stock Data Input'!D9</f>
        <v/>
      </c>
      <c r="D9" s="34">
        <f>'📥 Stock Data Input'!J9</f>
        <v/>
      </c>
      <c r="E9" s="34">
        <f>'📥 Stock Data Input'!K9</f>
        <v/>
      </c>
      <c r="F9" s="34">
        <f>'📥 Stock Data Input'!L9</f>
        <v/>
      </c>
      <c r="G9" s="35">
        <f>'📥 Stock Data Input'!M9</f>
        <v/>
      </c>
      <c r="H9" s="35">
        <f>'📥 Stock Data Input'!N9</f>
        <v/>
      </c>
      <c r="I9" s="35">
        <f>'📥 Stock Data Input'!O9</f>
        <v/>
      </c>
      <c r="J9" s="46">
        <f>IFERROR(IF('📥 Stock Data Input'!H9="","N/A",IF('📥 Stock Data Input'!N9&gt;'📥 Stock Data Input'!H9/100,"✅ Outperform","❌ Underperform")),"N/A")</f>
        <v/>
      </c>
      <c r="K9" s="46">
        <f>IFERROR(IF('📥 Stock Data Input'!I9="","N/A",IF('📥 Stock Data Input'!N9&gt;'📥 Stock Data Input'!I9/100,"✅ Beat Nifty","❌ Lag Nifty")),"N/A")</f>
        <v/>
      </c>
      <c r="L9" s="46">
        <f>IFERROR(IF('📥 Stock Data Input'!A9="","",IF('📥 Stock Data Input'!K9&lt;5000,"⚠️ Tiny Position",IF('📥 Stock Data Input'!N9&lt;0,"🔴 In Loss",IF(AND('📥 Stock Data Input'!I9&lt;&gt;"",'📥 Stock Data Input'!N9&lt;'📥 Stock Data Input'!I9/100),"🟡 Underperform",IF('📥 Stock Data Input'!N9&gt;0.2,"🟢 Strong","🔵 Hold"))))),"")</f>
        <v/>
      </c>
      <c r="M9" s="47">
        <f>IFERROR(IF('📥 Stock Data Input'!A9="","",IF('📥 Stock Data Input'!K9&lt;5000,"Add qty meaningfully or exit — position too small to matter",IF('📥 Stock Data Input'!N9&lt;-0.2,"Consider exit — loss &gt;20%; re-evaluate thesis",IF(AND('📥 Stock Data Input'!I9&lt;&gt;"",'📥 Stock Data Input'!N9&lt;'📥 Stock Data Input'!I9/100),"Lagging benchmark — review thesis; rotate if 2+ years",IF('📥 Stock Data Input'!N9&gt;0.2,"Strong compounder — hold; consider adding on dips","Hold — monitor quarterly; no immediate action"))))),"")</f>
        <v/>
      </c>
    </row>
    <row r="10" ht="18" customHeight="1" s="59">
      <c r="A10" s="73">
        <f>'📥 Stock Data Input'!A10</f>
        <v/>
      </c>
      <c r="B10" s="73">
        <f>'📥 Stock Data Input'!C10</f>
        <v/>
      </c>
      <c r="C10" s="41">
        <f>'📥 Stock Data Input'!D10</f>
        <v/>
      </c>
      <c r="D10" s="27">
        <f>'📥 Stock Data Input'!J10</f>
        <v/>
      </c>
      <c r="E10" s="27">
        <f>'📥 Stock Data Input'!K10</f>
        <v/>
      </c>
      <c r="F10" s="27">
        <f>'📥 Stock Data Input'!L10</f>
        <v/>
      </c>
      <c r="G10" s="28">
        <f>'📥 Stock Data Input'!M10</f>
        <v/>
      </c>
      <c r="H10" s="28">
        <f>'📥 Stock Data Input'!N10</f>
        <v/>
      </c>
      <c r="I10" s="28">
        <f>'📥 Stock Data Input'!O10</f>
        <v/>
      </c>
      <c r="J10" s="42">
        <f>IFERROR(IF('📥 Stock Data Input'!H10="","N/A",IF('📥 Stock Data Input'!N10&gt;'📥 Stock Data Input'!H10/100,"✅ Outperform","❌ Underperform")),"N/A")</f>
        <v/>
      </c>
      <c r="K10" s="42">
        <f>IFERROR(IF('📥 Stock Data Input'!I10="","N/A",IF('📥 Stock Data Input'!N10&gt;'📥 Stock Data Input'!I10/100,"✅ Beat Nifty","❌ Lag Nifty")),"N/A")</f>
        <v/>
      </c>
      <c r="L10" s="42">
        <f>IFERROR(IF('📥 Stock Data Input'!A10="","",IF('📥 Stock Data Input'!K10&lt;5000,"⚠️ Tiny Position",IF('📥 Stock Data Input'!N10&lt;0,"🔴 In Loss",IF(AND('📥 Stock Data Input'!I10&lt;&gt;"",'📥 Stock Data Input'!N10&lt;'📥 Stock Data Input'!I10/100),"🟡 Underperform",IF('📥 Stock Data Input'!N10&gt;0.2,"🟢 Strong","🔵 Hold"))))),"")</f>
        <v/>
      </c>
      <c r="M10" s="43">
        <f>IFERROR(IF('📥 Stock Data Input'!A10="","",IF('📥 Stock Data Input'!K10&lt;5000,"Add qty meaningfully or exit — position too small to matter",IF('📥 Stock Data Input'!N10&lt;-0.2,"Consider exit — loss &gt;20%; re-evaluate thesis",IF(AND('📥 Stock Data Input'!I10&lt;&gt;"",'📥 Stock Data Input'!N10&lt;'📥 Stock Data Input'!I10/100),"Lagging benchmark — review thesis; rotate if 2+ years",IF('📥 Stock Data Input'!N10&gt;0.2,"Strong compounder — hold; consider adding on dips","Hold — monitor quarterly; no immediate action"))))),"")</f>
        <v/>
      </c>
    </row>
    <row r="11" ht="18" customHeight="1" s="59">
      <c r="A11" s="44">
        <f>'📥 Stock Data Input'!A11</f>
        <v/>
      </c>
      <c r="B11" s="44">
        <f>'📥 Stock Data Input'!C11</f>
        <v/>
      </c>
      <c r="C11" s="45">
        <f>'📥 Stock Data Input'!D11</f>
        <v/>
      </c>
      <c r="D11" s="34">
        <f>'📥 Stock Data Input'!J11</f>
        <v/>
      </c>
      <c r="E11" s="34">
        <f>'📥 Stock Data Input'!K11</f>
        <v/>
      </c>
      <c r="F11" s="34">
        <f>'📥 Stock Data Input'!L11</f>
        <v/>
      </c>
      <c r="G11" s="35">
        <f>'📥 Stock Data Input'!M11</f>
        <v/>
      </c>
      <c r="H11" s="35">
        <f>'📥 Stock Data Input'!N11</f>
        <v/>
      </c>
      <c r="I11" s="35">
        <f>'📥 Stock Data Input'!O11</f>
        <v/>
      </c>
      <c r="J11" s="46">
        <f>IFERROR(IF('📥 Stock Data Input'!H11="","N/A",IF('📥 Stock Data Input'!N11&gt;'📥 Stock Data Input'!H11/100,"✅ Outperform","❌ Underperform")),"N/A")</f>
        <v/>
      </c>
      <c r="K11" s="46">
        <f>IFERROR(IF('📥 Stock Data Input'!I11="","N/A",IF('📥 Stock Data Input'!N11&gt;'📥 Stock Data Input'!I11/100,"✅ Beat Nifty","❌ Lag Nifty")),"N/A")</f>
        <v/>
      </c>
      <c r="L11" s="46">
        <f>IFERROR(IF('📥 Stock Data Input'!A11="","",IF('📥 Stock Data Input'!K11&lt;5000,"⚠️ Tiny Position",IF('📥 Stock Data Input'!N11&lt;0,"🔴 In Loss",IF(AND('📥 Stock Data Input'!I11&lt;&gt;"",'📥 Stock Data Input'!N11&lt;'📥 Stock Data Input'!I11/100),"🟡 Underperform",IF('📥 Stock Data Input'!N11&gt;0.2,"🟢 Strong","🔵 Hold"))))),"")</f>
        <v/>
      </c>
      <c r="M11" s="47">
        <f>IFERROR(IF('📥 Stock Data Input'!A11="","",IF('📥 Stock Data Input'!K11&lt;5000,"Add qty meaningfully or exit — position too small to matter",IF('📥 Stock Data Input'!N11&lt;-0.2,"Consider exit — loss &gt;20%; re-evaluate thesis",IF(AND('📥 Stock Data Input'!I11&lt;&gt;"",'📥 Stock Data Input'!N11&lt;'📥 Stock Data Input'!I11/100),"Lagging benchmark — review thesis; rotate if 2+ years",IF('📥 Stock Data Input'!N11&gt;0.2,"Strong compounder — hold; consider adding on dips","Hold — monitor quarterly; no immediate action"))))),"")</f>
        <v/>
      </c>
    </row>
    <row r="12" ht="18" customHeight="1" s="59">
      <c r="A12" s="73">
        <f>'📥 Stock Data Input'!A12</f>
        <v/>
      </c>
      <c r="B12" s="73">
        <f>'📥 Stock Data Input'!C12</f>
        <v/>
      </c>
      <c r="C12" s="41">
        <f>'📥 Stock Data Input'!D12</f>
        <v/>
      </c>
      <c r="D12" s="27">
        <f>'📥 Stock Data Input'!J12</f>
        <v/>
      </c>
      <c r="E12" s="27">
        <f>'📥 Stock Data Input'!K12</f>
        <v/>
      </c>
      <c r="F12" s="27">
        <f>'📥 Stock Data Input'!L12</f>
        <v/>
      </c>
      <c r="G12" s="28">
        <f>'📥 Stock Data Input'!M12</f>
        <v/>
      </c>
      <c r="H12" s="28">
        <f>'📥 Stock Data Input'!N12</f>
        <v/>
      </c>
      <c r="I12" s="28">
        <f>'📥 Stock Data Input'!O12</f>
        <v/>
      </c>
      <c r="J12" s="42">
        <f>IFERROR(IF('📥 Stock Data Input'!H12="","N/A",IF('📥 Stock Data Input'!N12&gt;'📥 Stock Data Input'!H12/100,"✅ Outperform","❌ Underperform")),"N/A")</f>
        <v/>
      </c>
      <c r="K12" s="42">
        <f>IFERROR(IF('📥 Stock Data Input'!I12="","N/A",IF('📥 Stock Data Input'!N12&gt;'📥 Stock Data Input'!I12/100,"✅ Beat Nifty","❌ Lag Nifty")),"N/A")</f>
        <v/>
      </c>
      <c r="L12" s="42">
        <f>IFERROR(IF('📥 Stock Data Input'!A12="","",IF('📥 Stock Data Input'!K12&lt;5000,"⚠️ Tiny Position",IF('📥 Stock Data Input'!N12&lt;0,"🔴 In Loss",IF(AND('📥 Stock Data Input'!I12&lt;&gt;"",'📥 Stock Data Input'!N12&lt;'📥 Stock Data Input'!I12/100),"🟡 Underperform",IF('📥 Stock Data Input'!N12&gt;0.2,"🟢 Strong","🔵 Hold"))))),"")</f>
        <v/>
      </c>
      <c r="M12" s="43">
        <f>IFERROR(IF('📥 Stock Data Input'!A12="","",IF('📥 Stock Data Input'!K12&lt;5000,"Add qty meaningfully or exit — position too small to matter",IF('📥 Stock Data Input'!N12&lt;-0.2,"Consider exit — loss &gt;20%; re-evaluate thesis",IF(AND('📥 Stock Data Input'!I12&lt;&gt;"",'📥 Stock Data Input'!N12&lt;'📥 Stock Data Input'!I12/100),"Lagging benchmark — review thesis; rotate if 2+ years",IF('📥 Stock Data Input'!N12&gt;0.2,"Strong compounder — hold; consider adding on dips","Hold — monitor quarterly; no immediate action"))))),"")</f>
        <v/>
      </c>
    </row>
    <row r="13" ht="18" customHeight="1" s="59">
      <c r="A13" s="44">
        <f>'📥 Stock Data Input'!A13</f>
        <v/>
      </c>
      <c r="B13" s="44">
        <f>'📥 Stock Data Input'!C13</f>
        <v/>
      </c>
      <c r="C13" s="45">
        <f>'📥 Stock Data Input'!D13</f>
        <v/>
      </c>
      <c r="D13" s="34">
        <f>'📥 Stock Data Input'!J13</f>
        <v/>
      </c>
      <c r="E13" s="34">
        <f>'📥 Stock Data Input'!K13</f>
        <v/>
      </c>
      <c r="F13" s="34">
        <f>'📥 Stock Data Input'!L13</f>
        <v/>
      </c>
      <c r="G13" s="35">
        <f>'📥 Stock Data Input'!M13</f>
        <v/>
      </c>
      <c r="H13" s="35">
        <f>'📥 Stock Data Input'!N13</f>
        <v/>
      </c>
      <c r="I13" s="35">
        <f>'📥 Stock Data Input'!O13</f>
        <v/>
      </c>
      <c r="J13" s="46">
        <f>IFERROR(IF('📥 Stock Data Input'!H13="","N/A",IF('📥 Stock Data Input'!N13&gt;'📥 Stock Data Input'!H13/100,"✅ Outperform","❌ Underperform")),"N/A")</f>
        <v/>
      </c>
      <c r="K13" s="46">
        <f>IFERROR(IF('📥 Stock Data Input'!I13="","N/A",IF('📥 Stock Data Input'!N13&gt;'📥 Stock Data Input'!I13/100,"✅ Beat Nifty","❌ Lag Nifty")),"N/A")</f>
        <v/>
      </c>
      <c r="L13" s="46">
        <f>IFERROR(IF('📥 Stock Data Input'!A13="","",IF('📥 Stock Data Input'!K13&lt;5000,"⚠️ Tiny Position",IF('📥 Stock Data Input'!N13&lt;0,"🔴 In Loss",IF(AND('📥 Stock Data Input'!I13&lt;&gt;"",'📥 Stock Data Input'!N13&lt;'📥 Stock Data Input'!I13/100),"🟡 Underperform",IF('📥 Stock Data Input'!N13&gt;0.2,"🟢 Strong","🔵 Hold"))))),"")</f>
        <v/>
      </c>
      <c r="M13" s="47">
        <f>IFERROR(IF('📥 Stock Data Input'!A13="","",IF('📥 Stock Data Input'!K13&lt;5000,"Add qty meaningfully or exit — position too small to matter",IF('📥 Stock Data Input'!N13&lt;-0.2,"Consider exit — loss &gt;20%; re-evaluate thesis",IF(AND('📥 Stock Data Input'!I13&lt;&gt;"",'📥 Stock Data Input'!N13&lt;'📥 Stock Data Input'!I13/100),"Lagging benchmark — review thesis; rotate if 2+ years",IF('📥 Stock Data Input'!N13&gt;0.2,"Strong compounder — hold; consider adding on dips","Hold — monitor quarterly; no immediate action"))))),"")</f>
        <v/>
      </c>
    </row>
    <row r="14" ht="18" customHeight="1" s="59">
      <c r="A14" s="73">
        <f>'📥 Stock Data Input'!A14</f>
        <v/>
      </c>
      <c r="B14" s="73">
        <f>'📥 Stock Data Input'!C14</f>
        <v/>
      </c>
      <c r="C14" s="41">
        <f>'📥 Stock Data Input'!D14</f>
        <v/>
      </c>
      <c r="D14" s="27">
        <f>'📥 Stock Data Input'!J14</f>
        <v/>
      </c>
      <c r="E14" s="27">
        <f>'📥 Stock Data Input'!K14</f>
        <v/>
      </c>
      <c r="F14" s="27">
        <f>'📥 Stock Data Input'!L14</f>
        <v/>
      </c>
      <c r="G14" s="28">
        <f>'📥 Stock Data Input'!M14</f>
        <v/>
      </c>
      <c r="H14" s="28">
        <f>'📥 Stock Data Input'!N14</f>
        <v/>
      </c>
      <c r="I14" s="28">
        <f>'📥 Stock Data Input'!O14</f>
        <v/>
      </c>
      <c r="J14" s="42">
        <f>IFERROR(IF('📥 Stock Data Input'!H14="","N/A",IF('📥 Stock Data Input'!N14&gt;'📥 Stock Data Input'!H14/100,"✅ Outperform","❌ Underperform")),"N/A")</f>
        <v/>
      </c>
      <c r="K14" s="42">
        <f>IFERROR(IF('📥 Stock Data Input'!I14="","N/A",IF('📥 Stock Data Input'!N14&gt;'📥 Stock Data Input'!I14/100,"✅ Beat Nifty","❌ Lag Nifty")),"N/A")</f>
        <v/>
      </c>
      <c r="L14" s="42">
        <f>IFERROR(IF('📥 Stock Data Input'!A14="","",IF('📥 Stock Data Input'!K14&lt;5000,"⚠️ Tiny Position",IF('📥 Stock Data Input'!N14&lt;0,"🔴 In Loss",IF(AND('📥 Stock Data Input'!I14&lt;&gt;"",'📥 Stock Data Input'!N14&lt;'📥 Stock Data Input'!I14/100),"🟡 Underperform",IF('📥 Stock Data Input'!N14&gt;0.2,"🟢 Strong","🔵 Hold"))))),"")</f>
        <v/>
      </c>
      <c r="M14" s="43">
        <f>IFERROR(IF('📥 Stock Data Input'!A14="","",IF('📥 Stock Data Input'!K14&lt;5000,"Add qty meaningfully or exit — position too small to matter",IF('📥 Stock Data Input'!N14&lt;-0.2,"Consider exit — loss &gt;20%; re-evaluate thesis",IF(AND('📥 Stock Data Input'!I14&lt;&gt;"",'📥 Stock Data Input'!N14&lt;'📥 Stock Data Input'!I14/100),"Lagging benchmark — review thesis; rotate if 2+ years",IF('📥 Stock Data Input'!N14&gt;0.2,"Strong compounder — hold; consider adding on dips","Hold — monitor quarterly; no immediate action"))))),"")</f>
        <v/>
      </c>
    </row>
    <row r="15" ht="18" customHeight="1" s="59">
      <c r="A15" s="44">
        <f>'📥 Stock Data Input'!A15</f>
        <v/>
      </c>
      <c r="B15" s="44">
        <f>'📥 Stock Data Input'!C15</f>
        <v/>
      </c>
      <c r="C15" s="45">
        <f>'📥 Stock Data Input'!D15</f>
        <v/>
      </c>
      <c r="D15" s="34">
        <f>'📥 Stock Data Input'!J15</f>
        <v/>
      </c>
      <c r="E15" s="34">
        <f>'📥 Stock Data Input'!K15</f>
        <v/>
      </c>
      <c r="F15" s="34">
        <f>'📥 Stock Data Input'!L15</f>
        <v/>
      </c>
      <c r="G15" s="35">
        <f>'📥 Stock Data Input'!M15</f>
        <v/>
      </c>
      <c r="H15" s="35">
        <f>'📥 Stock Data Input'!N15</f>
        <v/>
      </c>
      <c r="I15" s="35">
        <f>'📥 Stock Data Input'!O15</f>
        <v/>
      </c>
      <c r="J15" s="46">
        <f>IFERROR(IF('📥 Stock Data Input'!H15="","N/A",IF('📥 Stock Data Input'!N15&gt;'📥 Stock Data Input'!H15/100,"✅ Outperform","❌ Underperform")),"N/A")</f>
        <v/>
      </c>
      <c r="K15" s="46">
        <f>IFERROR(IF('📥 Stock Data Input'!I15="","N/A",IF('📥 Stock Data Input'!N15&gt;'📥 Stock Data Input'!I15/100,"✅ Beat Nifty","❌ Lag Nifty")),"N/A")</f>
        <v/>
      </c>
      <c r="L15" s="46">
        <f>IFERROR(IF('📥 Stock Data Input'!A15="","",IF('📥 Stock Data Input'!K15&lt;5000,"⚠️ Tiny Position",IF('📥 Stock Data Input'!N15&lt;0,"🔴 In Loss",IF(AND('📥 Stock Data Input'!I15&lt;&gt;"",'📥 Stock Data Input'!N15&lt;'📥 Stock Data Input'!I15/100),"🟡 Underperform",IF('📥 Stock Data Input'!N15&gt;0.2,"🟢 Strong","🔵 Hold"))))),"")</f>
        <v/>
      </c>
      <c r="M15" s="47">
        <f>IFERROR(IF('📥 Stock Data Input'!A15="","",IF('📥 Stock Data Input'!K15&lt;5000,"Add qty meaningfully or exit — position too small to matter",IF('📥 Stock Data Input'!N15&lt;-0.2,"Consider exit — loss &gt;20%; re-evaluate thesis",IF(AND('📥 Stock Data Input'!I15&lt;&gt;"",'📥 Stock Data Input'!N15&lt;'📥 Stock Data Input'!I15/100),"Lagging benchmark — review thesis; rotate if 2+ years",IF('📥 Stock Data Input'!N15&gt;0.2,"Strong compounder — hold; consider adding on dips","Hold — monitor quarterly; no immediate action"))))),"")</f>
        <v/>
      </c>
    </row>
    <row r="16" ht="18" customHeight="1" s="59">
      <c r="A16" s="73">
        <f>'📥 Stock Data Input'!A16</f>
        <v/>
      </c>
      <c r="B16" s="73">
        <f>'📥 Stock Data Input'!C16</f>
        <v/>
      </c>
      <c r="C16" s="41">
        <f>'📥 Stock Data Input'!D16</f>
        <v/>
      </c>
      <c r="D16" s="27">
        <f>'📥 Stock Data Input'!J16</f>
        <v/>
      </c>
      <c r="E16" s="27">
        <f>'📥 Stock Data Input'!K16</f>
        <v/>
      </c>
      <c r="F16" s="27">
        <f>'📥 Stock Data Input'!L16</f>
        <v/>
      </c>
      <c r="G16" s="28">
        <f>'📥 Stock Data Input'!M16</f>
        <v/>
      </c>
      <c r="H16" s="28">
        <f>'📥 Stock Data Input'!N16</f>
        <v/>
      </c>
      <c r="I16" s="28">
        <f>'📥 Stock Data Input'!O16</f>
        <v/>
      </c>
      <c r="J16" s="42">
        <f>IFERROR(IF('📥 Stock Data Input'!H16="","N/A",IF('📥 Stock Data Input'!N16&gt;'📥 Stock Data Input'!H16/100,"✅ Outperform","❌ Underperform")),"N/A")</f>
        <v/>
      </c>
      <c r="K16" s="42">
        <f>IFERROR(IF('📥 Stock Data Input'!I16="","N/A",IF('📥 Stock Data Input'!N16&gt;'📥 Stock Data Input'!I16/100,"✅ Beat Nifty","❌ Lag Nifty")),"N/A")</f>
        <v/>
      </c>
      <c r="L16" s="42">
        <f>IFERROR(IF('📥 Stock Data Input'!A16="","",IF('📥 Stock Data Input'!K16&lt;5000,"⚠️ Tiny Position",IF('📥 Stock Data Input'!N16&lt;0,"🔴 In Loss",IF(AND('📥 Stock Data Input'!I16&lt;&gt;"",'📥 Stock Data Input'!N16&lt;'📥 Stock Data Input'!I16/100),"🟡 Underperform",IF('📥 Stock Data Input'!N16&gt;0.2,"🟢 Strong","🔵 Hold"))))),"")</f>
        <v/>
      </c>
      <c r="M16" s="43">
        <f>IFERROR(IF('📥 Stock Data Input'!A16="","",IF('📥 Stock Data Input'!K16&lt;5000,"Add qty meaningfully or exit — position too small to matter",IF('📥 Stock Data Input'!N16&lt;-0.2,"Consider exit — loss &gt;20%; re-evaluate thesis",IF(AND('📥 Stock Data Input'!I16&lt;&gt;"",'📥 Stock Data Input'!N16&lt;'📥 Stock Data Input'!I16/100),"Lagging benchmark — review thesis; rotate if 2+ years",IF('📥 Stock Data Input'!N16&gt;0.2,"Strong compounder — hold; consider adding on dips","Hold — monitor quarterly; no immediate action"))))),"")</f>
        <v/>
      </c>
    </row>
    <row r="17" ht="18" customHeight="1" s="59">
      <c r="A17" s="44">
        <f>'📥 Stock Data Input'!A17</f>
        <v/>
      </c>
      <c r="B17" s="44">
        <f>'📥 Stock Data Input'!C17</f>
        <v/>
      </c>
      <c r="C17" s="45">
        <f>'📥 Stock Data Input'!D17</f>
        <v/>
      </c>
      <c r="D17" s="34">
        <f>'📥 Stock Data Input'!J17</f>
        <v/>
      </c>
      <c r="E17" s="34">
        <f>'📥 Stock Data Input'!K17</f>
        <v/>
      </c>
      <c r="F17" s="34">
        <f>'📥 Stock Data Input'!L17</f>
        <v/>
      </c>
      <c r="G17" s="35">
        <f>'📥 Stock Data Input'!M17</f>
        <v/>
      </c>
      <c r="H17" s="35">
        <f>'📥 Stock Data Input'!N17</f>
        <v/>
      </c>
      <c r="I17" s="35">
        <f>'📥 Stock Data Input'!O17</f>
        <v/>
      </c>
      <c r="J17" s="46">
        <f>IFERROR(IF('📥 Stock Data Input'!H17="","N/A",IF('📥 Stock Data Input'!N17&gt;'📥 Stock Data Input'!H17/100,"✅ Outperform","❌ Underperform")),"N/A")</f>
        <v/>
      </c>
      <c r="K17" s="46">
        <f>IFERROR(IF('📥 Stock Data Input'!I17="","N/A",IF('📥 Stock Data Input'!N17&gt;'📥 Stock Data Input'!I17/100,"✅ Beat Nifty","❌ Lag Nifty")),"N/A")</f>
        <v/>
      </c>
      <c r="L17" s="46">
        <f>IFERROR(IF('📥 Stock Data Input'!A17="","",IF('📥 Stock Data Input'!K17&lt;5000,"⚠️ Tiny Position",IF('📥 Stock Data Input'!N17&lt;0,"🔴 In Loss",IF(AND('📥 Stock Data Input'!I17&lt;&gt;"",'📥 Stock Data Input'!N17&lt;'📥 Stock Data Input'!I17/100),"🟡 Underperform",IF('📥 Stock Data Input'!N17&gt;0.2,"🟢 Strong","🔵 Hold"))))),"")</f>
        <v/>
      </c>
      <c r="M17" s="47">
        <f>IFERROR(IF('📥 Stock Data Input'!A17="","",IF('📥 Stock Data Input'!K17&lt;5000,"Add qty meaningfully or exit — position too small to matter",IF('📥 Stock Data Input'!N17&lt;-0.2,"Consider exit — loss &gt;20%; re-evaluate thesis",IF(AND('📥 Stock Data Input'!I17&lt;&gt;"",'📥 Stock Data Input'!N17&lt;'📥 Stock Data Input'!I17/100),"Lagging benchmark — review thesis; rotate if 2+ years",IF('📥 Stock Data Input'!N17&gt;0.2,"Strong compounder — hold; consider adding on dips","Hold — monitor quarterly; no immediate action"))))),"")</f>
        <v/>
      </c>
    </row>
    <row r="18" ht="18" customHeight="1" s="59">
      <c r="A18" s="73">
        <f>'📥 Stock Data Input'!A18</f>
        <v/>
      </c>
      <c r="B18" s="73">
        <f>'📥 Stock Data Input'!C18</f>
        <v/>
      </c>
      <c r="C18" s="41">
        <f>'📥 Stock Data Input'!D18</f>
        <v/>
      </c>
      <c r="D18" s="27">
        <f>'📥 Stock Data Input'!J18</f>
        <v/>
      </c>
      <c r="E18" s="27">
        <f>'📥 Stock Data Input'!K18</f>
        <v/>
      </c>
      <c r="F18" s="27">
        <f>'📥 Stock Data Input'!L18</f>
        <v/>
      </c>
      <c r="G18" s="28">
        <f>'📥 Stock Data Input'!M18</f>
        <v/>
      </c>
      <c r="H18" s="28">
        <f>'📥 Stock Data Input'!N18</f>
        <v/>
      </c>
      <c r="I18" s="28">
        <f>'📥 Stock Data Input'!O18</f>
        <v/>
      </c>
      <c r="J18" s="42">
        <f>IFERROR(IF('📥 Stock Data Input'!H18="","N/A",IF('📥 Stock Data Input'!N18&gt;'📥 Stock Data Input'!H18/100,"✅ Outperform","❌ Underperform")),"N/A")</f>
        <v/>
      </c>
      <c r="K18" s="42">
        <f>IFERROR(IF('📥 Stock Data Input'!I18="","N/A",IF('📥 Stock Data Input'!N18&gt;'📥 Stock Data Input'!I18/100,"✅ Beat Nifty","❌ Lag Nifty")),"N/A")</f>
        <v/>
      </c>
      <c r="L18" s="42">
        <f>IFERROR(IF('📥 Stock Data Input'!A18="","",IF('📥 Stock Data Input'!K18&lt;5000,"⚠️ Tiny Position",IF('📥 Stock Data Input'!N18&lt;0,"🔴 In Loss",IF(AND('📥 Stock Data Input'!I18&lt;&gt;"",'📥 Stock Data Input'!N18&lt;'📥 Stock Data Input'!I18/100),"🟡 Underperform",IF('📥 Stock Data Input'!N18&gt;0.2,"🟢 Strong","🔵 Hold"))))),"")</f>
        <v/>
      </c>
      <c r="M18" s="43">
        <f>IFERROR(IF('📥 Stock Data Input'!A18="","",IF('📥 Stock Data Input'!K18&lt;5000,"Add qty meaningfully or exit — position too small to matter",IF('📥 Stock Data Input'!N18&lt;-0.2,"Consider exit — loss &gt;20%; re-evaluate thesis",IF(AND('📥 Stock Data Input'!I18&lt;&gt;"",'📥 Stock Data Input'!N18&lt;'📥 Stock Data Input'!I18/100),"Lagging benchmark — review thesis; rotate if 2+ years",IF('📥 Stock Data Input'!N18&gt;0.2,"Strong compounder — hold; consider adding on dips","Hold — monitor quarterly; no immediate action"))))),"")</f>
        <v/>
      </c>
    </row>
    <row r="19" ht="18" customHeight="1" s="59">
      <c r="A19" s="44">
        <f>'📥 Stock Data Input'!A19</f>
        <v/>
      </c>
      <c r="B19" s="44">
        <f>'📥 Stock Data Input'!C19</f>
        <v/>
      </c>
      <c r="C19" s="45">
        <f>'📥 Stock Data Input'!D19</f>
        <v/>
      </c>
      <c r="D19" s="34">
        <f>'📥 Stock Data Input'!J19</f>
        <v/>
      </c>
      <c r="E19" s="34">
        <f>'📥 Stock Data Input'!K19</f>
        <v/>
      </c>
      <c r="F19" s="34">
        <f>'📥 Stock Data Input'!L19</f>
        <v/>
      </c>
      <c r="G19" s="35">
        <f>'📥 Stock Data Input'!M19</f>
        <v/>
      </c>
      <c r="H19" s="35">
        <f>'📥 Stock Data Input'!N19</f>
        <v/>
      </c>
      <c r="I19" s="35">
        <f>'📥 Stock Data Input'!O19</f>
        <v/>
      </c>
      <c r="J19" s="46">
        <f>IFERROR(IF('📥 Stock Data Input'!H19="","N/A",IF('📥 Stock Data Input'!N19&gt;'📥 Stock Data Input'!H19/100,"✅ Outperform","❌ Underperform")),"N/A")</f>
        <v/>
      </c>
      <c r="K19" s="46">
        <f>IFERROR(IF('📥 Stock Data Input'!I19="","N/A",IF('📥 Stock Data Input'!N19&gt;'📥 Stock Data Input'!I19/100,"✅ Beat Nifty","❌ Lag Nifty")),"N/A")</f>
        <v/>
      </c>
      <c r="L19" s="46">
        <f>IFERROR(IF('📥 Stock Data Input'!A19="","",IF('📥 Stock Data Input'!K19&lt;5000,"⚠️ Tiny Position",IF('📥 Stock Data Input'!N19&lt;0,"🔴 In Loss",IF(AND('📥 Stock Data Input'!I19&lt;&gt;"",'📥 Stock Data Input'!N19&lt;'📥 Stock Data Input'!I19/100),"🟡 Underperform",IF('📥 Stock Data Input'!N19&gt;0.2,"🟢 Strong","🔵 Hold"))))),"")</f>
        <v/>
      </c>
      <c r="M19" s="47">
        <f>IFERROR(IF('📥 Stock Data Input'!A19="","",IF('📥 Stock Data Input'!K19&lt;5000,"Add qty meaningfully or exit — position too small to matter",IF('📥 Stock Data Input'!N19&lt;-0.2,"Consider exit — loss &gt;20%; re-evaluate thesis",IF(AND('📥 Stock Data Input'!I19&lt;&gt;"",'📥 Stock Data Input'!N19&lt;'📥 Stock Data Input'!I19/100),"Lagging benchmark — review thesis; rotate if 2+ years",IF('📥 Stock Data Input'!N19&gt;0.2,"Strong compounder — hold; consider adding on dips","Hold — monitor quarterly; no immediate action"))))),"")</f>
        <v/>
      </c>
    </row>
    <row r="20" ht="18" customHeight="1" s="59">
      <c r="A20" s="73">
        <f>'📥 Stock Data Input'!A20</f>
        <v/>
      </c>
      <c r="B20" s="73">
        <f>'📥 Stock Data Input'!C20</f>
        <v/>
      </c>
      <c r="C20" s="41">
        <f>'📥 Stock Data Input'!D20</f>
        <v/>
      </c>
      <c r="D20" s="27">
        <f>'📥 Stock Data Input'!J20</f>
        <v/>
      </c>
      <c r="E20" s="27">
        <f>'📥 Stock Data Input'!K20</f>
        <v/>
      </c>
      <c r="F20" s="27">
        <f>'📥 Stock Data Input'!L20</f>
        <v/>
      </c>
      <c r="G20" s="28">
        <f>'📥 Stock Data Input'!M20</f>
        <v/>
      </c>
      <c r="H20" s="28">
        <f>'📥 Stock Data Input'!N20</f>
        <v/>
      </c>
      <c r="I20" s="28">
        <f>'📥 Stock Data Input'!O20</f>
        <v/>
      </c>
      <c r="J20" s="42">
        <f>IFERROR(IF('📥 Stock Data Input'!H20="","N/A",IF('📥 Stock Data Input'!N20&gt;'📥 Stock Data Input'!H20/100,"✅ Outperform","❌ Underperform")),"N/A")</f>
        <v/>
      </c>
      <c r="K20" s="42">
        <f>IFERROR(IF('📥 Stock Data Input'!I20="","N/A",IF('📥 Stock Data Input'!N20&gt;'📥 Stock Data Input'!I20/100,"✅ Beat Nifty","❌ Lag Nifty")),"N/A")</f>
        <v/>
      </c>
      <c r="L20" s="42">
        <f>IFERROR(IF('📥 Stock Data Input'!A20="","",IF('📥 Stock Data Input'!K20&lt;5000,"⚠️ Tiny Position",IF('📥 Stock Data Input'!N20&lt;0,"🔴 In Loss",IF(AND('📥 Stock Data Input'!I20&lt;&gt;"",'📥 Stock Data Input'!N20&lt;'📥 Stock Data Input'!I20/100),"🟡 Underperform",IF('📥 Stock Data Input'!N20&gt;0.2,"🟢 Strong","🔵 Hold"))))),"")</f>
        <v/>
      </c>
      <c r="M20" s="43">
        <f>IFERROR(IF('📥 Stock Data Input'!A20="","",IF('📥 Stock Data Input'!K20&lt;5000,"Add qty meaningfully or exit — position too small to matter",IF('📥 Stock Data Input'!N20&lt;-0.2,"Consider exit — loss &gt;20%; re-evaluate thesis",IF(AND('📥 Stock Data Input'!I20&lt;&gt;"",'📥 Stock Data Input'!N20&lt;'📥 Stock Data Input'!I20/100),"Lagging benchmark — review thesis; rotate if 2+ years",IF('📥 Stock Data Input'!N20&gt;0.2,"Strong compounder — hold; consider adding on dips","Hold — monitor quarterly; no immediate action"))))),"")</f>
        <v/>
      </c>
    </row>
    <row r="21" ht="18" customHeight="1" s="59">
      <c r="A21" s="44">
        <f>'📥 Stock Data Input'!A21</f>
        <v/>
      </c>
      <c r="B21" s="44">
        <f>'📥 Stock Data Input'!C21</f>
        <v/>
      </c>
      <c r="C21" s="45">
        <f>'📥 Stock Data Input'!D21</f>
        <v/>
      </c>
      <c r="D21" s="34">
        <f>'📥 Stock Data Input'!J21</f>
        <v/>
      </c>
      <c r="E21" s="34">
        <f>'📥 Stock Data Input'!K21</f>
        <v/>
      </c>
      <c r="F21" s="34">
        <f>'📥 Stock Data Input'!L21</f>
        <v/>
      </c>
      <c r="G21" s="35">
        <f>'📥 Stock Data Input'!M21</f>
        <v/>
      </c>
      <c r="H21" s="35">
        <f>'📥 Stock Data Input'!N21</f>
        <v/>
      </c>
      <c r="I21" s="35">
        <f>'📥 Stock Data Input'!O21</f>
        <v/>
      </c>
      <c r="J21" s="46">
        <f>IFERROR(IF('📥 Stock Data Input'!H21="","N/A",IF('📥 Stock Data Input'!N21&gt;'📥 Stock Data Input'!H21/100,"✅ Outperform","❌ Underperform")),"N/A")</f>
        <v/>
      </c>
      <c r="K21" s="46">
        <f>IFERROR(IF('📥 Stock Data Input'!I21="","N/A",IF('📥 Stock Data Input'!N21&gt;'📥 Stock Data Input'!I21/100,"✅ Beat Nifty","❌ Lag Nifty")),"N/A")</f>
        <v/>
      </c>
      <c r="L21" s="46">
        <f>IFERROR(IF('📥 Stock Data Input'!A21="","",IF('📥 Stock Data Input'!K21&lt;5000,"⚠️ Tiny Position",IF('📥 Stock Data Input'!N21&lt;0,"🔴 In Loss",IF(AND('📥 Stock Data Input'!I21&lt;&gt;"",'📥 Stock Data Input'!N21&lt;'📥 Stock Data Input'!I21/100),"🟡 Underperform",IF('📥 Stock Data Input'!N21&gt;0.2,"🟢 Strong","🔵 Hold"))))),"")</f>
        <v/>
      </c>
      <c r="M21" s="47">
        <f>IFERROR(IF('📥 Stock Data Input'!A21="","",IF('📥 Stock Data Input'!K21&lt;5000,"Add qty meaningfully or exit — position too small to matter",IF('📥 Stock Data Input'!N21&lt;-0.2,"Consider exit — loss &gt;20%; re-evaluate thesis",IF(AND('📥 Stock Data Input'!I21&lt;&gt;"",'📥 Stock Data Input'!N21&lt;'📥 Stock Data Input'!I21/100),"Lagging benchmark — review thesis; rotate if 2+ years",IF('📥 Stock Data Input'!N21&gt;0.2,"Strong compounder — hold; consider adding on dips","Hold — monitor quarterly; no immediate action"))))),"")</f>
        <v/>
      </c>
    </row>
    <row r="22" ht="18" customHeight="1" s="59">
      <c r="A22" s="73">
        <f>'📥 Stock Data Input'!A22</f>
        <v/>
      </c>
      <c r="B22" s="73">
        <f>'📥 Stock Data Input'!C22</f>
        <v/>
      </c>
      <c r="C22" s="41">
        <f>'📥 Stock Data Input'!D22</f>
        <v/>
      </c>
      <c r="D22" s="27">
        <f>'📥 Stock Data Input'!J22</f>
        <v/>
      </c>
      <c r="E22" s="27">
        <f>'📥 Stock Data Input'!K22</f>
        <v/>
      </c>
      <c r="F22" s="27">
        <f>'📥 Stock Data Input'!L22</f>
        <v/>
      </c>
      <c r="G22" s="28">
        <f>'📥 Stock Data Input'!M22</f>
        <v/>
      </c>
      <c r="H22" s="28">
        <f>'📥 Stock Data Input'!N22</f>
        <v/>
      </c>
      <c r="I22" s="28">
        <f>'📥 Stock Data Input'!O22</f>
        <v/>
      </c>
      <c r="J22" s="42">
        <f>IFERROR(IF('📥 Stock Data Input'!H22="","N/A",IF('📥 Stock Data Input'!N22&gt;'📥 Stock Data Input'!H22/100,"✅ Outperform","❌ Underperform")),"N/A")</f>
        <v/>
      </c>
      <c r="K22" s="42">
        <f>IFERROR(IF('📥 Stock Data Input'!I22="","N/A",IF('📥 Stock Data Input'!N22&gt;'📥 Stock Data Input'!I22/100,"✅ Beat Nifty","❌ Lag Nifty")),"N/A")</f>
        <v/>
      </c>
      <c r="L22" s="42">
        <f>IFERROR(IF('📥 Stock Data Input'!A22="","",IF('📥 Stock Data Input'!K22&lt;5000,"⚠️ Tiny Position",IF('📥 Stock Data Input'!N22&lt;0,"🔴 In Loss",IF(AND('📥 Stock Data Input'!I22&lt;&gt;"",'📥 Stock Data Input'!N22&lt;'📥 Stock Data Input'!I22/100),"🟡 Underperform",IF('📥 Stock Data Input'!N22&gt;0.2,"🟢 Strong","🔵 Hold"))))),"")</f>
        <v/>
      </c>
      <c r="M22" s="43">
        <f>IFERROR(IF('📥 Stock Data Input'!A22="","",IF('📥 Stock Data Input'!K22&lt;5000,"Add qty meaningfully or exit — position too small to matter",IF('📥 Stock Data Input'!N22&lt;-0.2,"Consider exit — loss &gt;20%; re-evaluate thesis",IF(AND('📥 Stock Data Input'!I22&lt;&gt;"",'📥 Stock Data Input'!N22&lt;'📥 Stock Data Input'!I22/100),"Lagging benchmark — review thesis; rotate if 2+ years",IF('📥 Stock Data Input'!N22&gt;0.2,"Strong compounder — hold; consider adding on dips","Hold — monitor quarterly; no immediate action"))))),"")</f>
        <v/>
      </c>
    </row>
    <row r="23" ht="18" customHeight="1" s="59">
      <c r="A23" s="44">
        <f>'📥 Stock Data Input'!A23</f>
        <v/>
      </c>
      <c r="B23" s="44">
        <f>'📥 Stock Data Input'!C23</f>
        <v/>
      </c>
      <c r="C23" s="45">
        <f>'📥 Stock Data Input'!D23</f>
        <v/>
      </c>
      <c r="D23" s="34">
        <f>'📥 Stock Data Input'!J23</f>
        <v/>
      </c>
      <c r="E23" s="34">
        <f>'📥 Stock Data Input'!K23</f>
        <v/>
      </c>
      <c r="F23" s="34">
        <f>'📥 Stock Data Input'!L23</f>
        <v/>
      </c>
      <c r="G23" s="35">
        <f>'📥 Stock Data Input'!M23</f>
        <v/>
      </c>
      <c r="H23" s="35">
        <f>'📥 Stock Data Input'!N23</f>
        <v/>
      </c>
      <c r="I23" s="35">
        <f>'📥 Stock Data Input'!O23</f>
        <v/>
      </c>
      <c r="J23" s="46">
        <f>IFERROR(IF('📥 Stock Data Input'!H23="","N/A",IF('📥 Stock Data Input'!N23&gt;'📥 Stock Data Input'!H23/100,"✅ Outperform","❌ Underperform")),"N/A")</f>
        <v/>
      </c>
      <c r="K23" s="46">
        <f>IFERROR(IF('📥 Stock Data Input'!I23="","N/A",IF('📥 Stock Data Input'!N23&gt;'📥 Stock Data Input'!I23/100,"✅ Beat Nifty","❌ Lag Nifty")),"N/A")</f>
        <v/>
      </c>
      <c r="L23" s="46">
        <f>IFERROR(IF('📥 Stock Data Input'!A23="","",IF('📥 Stock Data Input'!K23&lt;5000,"⚠️ Tiny Position",IF('📥 Stock Data Input'!N23&lt;0,"🔴 In Loss",IF(AND('📥 Stock Data Input'!I23&lt;&gt;"",'📥 Stock Data Input'!N23&lt;'📥 Stock Data Input'!I23/100),"🟡 Underperform",IF('📥 Stock Data Input'!N23&gt;0.2,"🟢 Strong","🔵 Hold"))))),"")</f>
        <v/>
      </c>
      <c r="M23" s="47">
        <f>IFERROR(IF('📥 Stock Data Input'!A23="","",IF('📥 Stock Data Input'!K23&lt;5000,"Add qty meaningfully or exit — position too small to matter",IF('📥 Stock Data Input'!N23&lt;-0.2,"Consider exit — loss &gt;20%; re-evaluate thesis",IF(AND('📥 Stock Data Input'!I23&lt;&gt;"",'📥 Stock Data Input'!N23&lt;'📥 Stock Data Input'!I23/100),"Lagging benchmark — review thesis; rotate if 2+ years",IF('📥 Stock Data Input'!N23&gt;0.2,"Strong compounder — hold; consider adding on dips","Hold — monitor quarterly; no immediate action"))))),"")</f>
        <v/>
      </c>
    </row>
    <row r="24" ht="18" customHeight="1" s="59">
      <c r="A24" s="73">
        <f>'📥 Stock Data Input'!A24</f>
        <v/>
      </c>
      <c r="B24" s="73">
        <f>'📥 Stock Data Input'!C24</f>
        <v/>
      </c>
      <c r="C24" s="41">
        <f>'📥 Stock Data Input'!D24</f>
        <v/>
      </c>
      <c r="D24" s="27">
        <f>'📥 Stock Data Input'!J24</f>
        <v/>
      </c>
      <c r="E24" s="27">
        <f>'📥 Stock Data Input'!K24</f>
        <v/>
      </c>
      <c r="F24" s="27">
        <f>'📥 Stock Data Input'!L24</f>
        <v/>
      </c>
      <c r="G24" s="28">
        <f>'📥 Stock Data Input'!M24</f>
        <v/>
      </c>
      <c r="H24" s="28">
        <f>'📥 Stock Data Input'!N24</f>
        <v/>
      </c>
      <c r="I24" s="28">
        <f>'📥 Stock Data Input'!O24</f>
        <v/>
      </c>
      <c r="J24" s="42">
        <f>IFERROR(IF('📥 Stock Data Input'!H24="","N/A",IF('📥 Stock Data Input'!N24&gt;'📥 Stock Data Input'!H24/100,"✅ Outperform","❌ Underperform")),"N/A")</f>
        <v/>
      </c>
      <c r="K24" s="42">
        <f>IFERROR(IF('📥 Stock Data Input'!I24="","N/A",IF('📥 Stock Data Input'!N24&gt;'📥 Stock Data Input'!I24/100,"✅ Beat Nifty","❌ Lag Nifty")),"N/A")</f>
        <v/>
      </c>
      <c r="L24" s="42">
        <f>IFERROR(IF('📥 Stock Data Input'!A24="","",IF('📥 Stock Data Input'!K24&lt;5000,"⚠️ Tiny Position",IF('📥 Stock Data Input'!N24&lt;0,"🔴 In Loss",IF(AND('📥 Stock Data Input'!I24&lt;&gt;"",'📥 Stock Data Input'!N24&lt;'📥 Stock Data Input'!I24/100),"🟡 Underperform",IF('📥 Stock Data Input'!N24&gt;0.2,"🟢 Strong","🔵 Hold"))))),"")</f>
        <v/>
      </c>
      <c r="M24" s="43">
        <f>IFERROR(IF('📥 Stock Data Input'!A24="","",IF('📥 Stock Data Input'!K24&lt;5000,"Add qty meaningfully or exit — position too small to matter",IF('📥 Stock Data Input'!N24&lt;-0.2,"Consider exit — loss &gt;20%; re-evaluate thesis",IF(AND('📥 Stock Data Input'!I24&lt;&gt;"",'📥 Stock Data Input'!N24&lt;'📥 Stock Data Input'!I24/100),"Lagging benchmark — review thesis; rotate if 2+ years",IF('📥 Stock Data Input'!N24&gt;0.2,"Strong compounder — hold; consider adding on dips","Hold — monitor quarterly; no immediate action"))))),"")</f>
        <v/>
      </c>
    </row>
    <row r="25" ht="18" customHeight="1" s="59">
      <c r="A25" s="44">
        <f>'📥 Stock Data Input'!A25</f>
        <v/>
      </c>
      <c r="B25" s="44">
        <f>'📥 Stock Data Input'!C25</f>
        <v/>
      </c>
      <c r="C25" s="45">
        <f>'📥 Stock Data Input'!D25</f>
        <v/>
      </c>
      <c r="D25" s="34">
        <f>'📥 Stock Data Input'!J25</f>
        <v/>
      </c>
      <c r="E25" s="34">
        <f>'📥 Stock Data Input'!K25</f>
        <v/>
      </c>
      <c r="F25" s="34">
        <f>'📥 Stock Data Input'!L25</f>
        <v/>
      </c>
      <c r="G25" s="35">
        <f>'📥 Stock Data Input'!M25</f>
        <v/>
      </c>
      <c r="H25" s="35">
        <f>'📥 Stock Data Input'!N25</f>
        <v/>
      </c>
      <c r="I25" s="35">
        <f>'📥 Stock Data Input'!O25</f>
        <v/>
      </c>
      <c r="J25" s="46">
        <f>IFERROR(IF('📥 Stock Data Input'!H25="","N/A",IF('📥 Stock Data Input'!N25&gt;'📥 Stock Data Input'!H25/100,"✅ Outperform","❌ Underperform")),"N/A")</f>
        <v/>
      </c>
      <c r="K25" s="46">
        <f>IFERROR(IF('📥 Stock Data Input'!I25="","N/A",IF('📥 Stock Data Input'!N25&gt;'📥 Stock Data Input'!I25/100,"✅ Beat Nifty","❌ Lag Nifty")),"N/A")</f>
        <v/>
      </c>
      <c r="L25" s="46">
        <f>IFERROR(IF('📥 Stock Data Input'!A25="","",IF('📥 Stock Data Input'!K25&lt;5000,"⚠️ Tiny Position",IF('📥 Stock Data Input'!N25&lt;0,"🔴 In Loss",IF(AND('📥 Stock Data Input'!I25&lt;&gt;"",'📥 Stock Data Input'!N25&lt;'📥 Stock Data Input'!I25/100),"🟡 Underperform",IF('📥 Stock Data Input'!N25&gt;0.2,"🟢 Strong","🔵 Hold"))))),"")</f>
        <v/>
      </c>
      <c r="M25" s="47">
        <f>IFERROR(IF('📥 Stock Data Input'!A25="","",IF('📥 Stock Data Input'!K25&lt;5000,"Add qty meaningfully or exit — position too small to matter",IF('📥 Stock Data Input'!N25&lt;-0.2,"Consider exit — loss &gt;20%; re-evaluate thesis",IF(AND('📥 Stock Data Input'!I25&lt;&gt;"",'📥 Stock Data Input'!N25&lt;'📥 Stock Data Input'!I25/100),"Lagging benchmark — review thesis; rotate if 2+ years",IF('📥 Stock Data Input'!N25&gt;0.2,"Strong compounder — hold; consider adding on dips","Hold — monitor quarterly; no immediate action"))))),"")</f>
        <v/>
      </c>
    </row>
    <row r="26" ht="18" customHeight="1" s="59">
      <c r="A26" s="73">
        <f>'📥 Stock Data Input'!A26</f>
        <v/>
      </c>
      <c r="B26" s="73">
        <f>'📥 Stock Data Input'!C26</f>
        <v/>
      </c>
      <c r="C26" s="41">
        <f>'📥 Stock Data Input'!D26</f>
        <v/>
      </c>
      <c r="D26" s="27">
        <f>'📥 Stock Data Input'!J26</f>
        <v/>
      </c>
      <c r="E26" s="27">
        <f>'📥 Stock Data Input'!K26</f>
        <v/>
      </c>
      <c r="F26" s="27">
        <f>'📥 Stock Data Input'!L26</f>
        <v/>
      </c>
      <c r="G26" s="28">
        <f>'📥 Stock Data Input'!M26</f>
        <v/>
      </c>
      <c r="H26" s="28">
        <f>'📥 Stock Data Input'!N26</f>
        <v/>
      </c>
      <c r="I26" s="28">
        <f>'📥 Stock Data Input'!O26</f>
        <v/>
      </c>
      <c r="J26" s="42">
        <f>IFERROR(IF('📥 Stock Data Input'!H26="","N/A",IF('📥 Stock Data Input'!N26&gt;'📥 Stock Data Input'!H26/100,"✅ Outperform","❌ Underperform")),"N/A")</f>
        <v/>
      </c>
      <c r="K26" s="42">
        <f>IFERROR(IF('📥 Stock Data Input'!I26="","N/A",IF('📥 Stock Data Input'!N26&gt;'📥 Stock Data Input'!I26/100,"✅ Beat Nifty","❌ Lag Nifty")),"N/A")</f>
        <v/>
      </c>
      <c r="L26" s="42">
        <f>IFERROR(IF('📥 Stock Data Input'!A26="","",IF('📥 Stock Data Input'!K26&lt;5000,"⚠️ Tiny Position",IF('📥 Stock Data Input'!N26&lt;0,"🔴 In Loss",IF(AND('📥 Stock Data Input'!I26&lt;&gt;"",'📥 Stock Data Input'!N26&lt;'📥 Stock Data Input'!I26/100),"🟡 Underperform",IF('📥 Stock Data Input'!N26&gt;0.2,"🟢 Strong","🔵 Hold"))))),"")</f>
        <v/>
      </c>
      <c r="M26" s="43">
        <f>IFERROR(IF('📥 Stock Data Input'!A26="","",IF('📥 Stock Data Input'!K26&lt;5000,"Add qty meaningfully or exit — position too small to matter",IF('📥 Stock Data Input'!N26&lt;-0.2,"Consider exit — loss &gt;20%; re-evaluate thesis",IF(AND('📥 Stock Data Input'!I26&lt;&gt;"",'📥 Stock Data Input'!N26&lt;'📥 Stock Data Input'!I26/100),"Lagging benchmark — review thesis; rotate if 2+ years",IF('📥 Stock Data Input'!N26&gt;0.2,"Strong compounder — hold; consider adding on dips","Hold — monitor quarterly; no immediate action"))))),"")</f>
        <v/>
      </c>
    </row>
    <row r="27" ht="18" customHeight="1" s="59">
      <c r="A27" s="44">
        <f>'📥 Stock Data Input'!A27</f>
        <v/>
      </c>
      <c r="B27" s="44">
        <f>'📥 Stock Data Input'!C27</f>
        <v/>
      </c>
      <c r="C27" s="45">
        <f>'📥 Stock Data Input'!D27</f>
        <v/>
      </c>
      <c r="D27" s="34">
        <f>'📥 Stock Data Input'!J27</f>
        <v/>
      </c>
      <c r="E27" s="34">
        <f>'📥 Stock Data Input'!K27</f>
        <v/>
      </c>
      <c r="F27" s="34">
        <f>'📥 Stock Data Input'!L27</f>
        <v/>
      </c>
      <c r="G27" s="35">
        <f>'📥 Stock Data Input'!M27</f>
        <v/>
      </c>
      <c r="H27" s="35">
        <f>'📥 Stock Data Input'!N27</f>
        <v/>
      </c>
      <c r="I27" s="35">
        <f>'📥 Stock Data Input'!O27</f>
        <v/>
      </c>
      <c r="J27" s="46">
        <f>IFERROR(IF('📥 Stock Data Input'!H27="","N/A",IF('📥 Stock Data Input'!N27&gt;'📥 Stock Data Input'!H27/100,"✅ Outperform","❌ Underperform")),"N/A")</f>
        <v/>
      </c>
      <c r="K27" s="46">
        <f>IFERROR(IF('📥 Stock Data Input'!I27="","N/A",IF('📥 Stock Data Input'!N27&gt;'📥 Stock Data Input'!I27/100,"✅ Beat Nifty","❌ Lag Nifty")),"N/A")</f>
        <v/>
      </c>
      <c r="L27" s="46">
        <f>IFERROR(IF('📥 Stock Data Input'!A27="","",IF('📥 Stock Data Input'!K27&lt;5000,"⚠️ Tiny Position",IF('📥 Stock Data Input'!N27&lt;0,"🔴 In Loss",IF(AND('📥 Stock Data Input'!I27&lt;&gt;"",'📥 Stock Data Input'!N27&lt;'📥 Stock Data Input'!I27/100),"🟡 Underperform",IF('📥 Stock Data Input'!N27&gt;0.2,"🟢 Strong","🔵 Hold"))))),"")</f>
        <v/>
      </c>
      <c r="M27" s="47">
        <f>IFERROR(IF('📥 Stock Data Input'!A27="","",IF('📥 Stock Data Input'!K27&lt;5000,"Add qty meaningfully or exit — position too small to matter",IF('📥 Stock Data Input'!N27&lt;-0.2,"Consider exit — loss &gt;20%; re-evaluate thesis",IF(AND('📥 Stock Data Input'!I27&lt;&gt;"",'📥 Stock Data Input'!N27&lt;'📥 Stock Data Input'!I27/100),"Lagging benchmark — review thesis; rotate if 2+ years",IF('📥 Stock Data Input'!N27&gt;0.2,"Strong compounder — hold; consider adding on dips","Hold — monitor quarterly; no immediate action"))))),"")</f>
        <v/>
      </c>
    </row>
    <row r="28" ht="18" customHeight="1" s="59">
      <c r="A28" s="73">
        <f>'📥 Stock Data Input'!A28</f>
        <v/>
      </c>
      <c r="B28" s="73">
        <f>'📥 Stock Data Input'!C28</f>
        <v/>
      </c>
      <c r="C28" s="41">
        <f>'📥 Stock Data Input'!D28</f>
        <v/>
      </c>
      <c r="D28" s="27">
        <f>'📥 Stock Data Input'!J28</f>
        <v/>
      </c>
      <c r="E28" s="27">
        <f>'📥 Stock Data Input'!K28</f>
        <v/>
      </c>
      <c r="F28" s="27">
        <f>'📥 Stock Data Input'!L28</f>
        <v/>
      </c>
      <c r="G28" s="28">
        <f>'📥 Stock Data Input'!M28</f>
        <v/>
      </c>
      <c r="H28" s="28">
        <f>'📥 Stock Data Input'!N28</f>
        <v/>
      </c>
      <c r="I28" s="28">
        <f>'📥 Stock Data Input'!O28</f>
        <v/>
      </c>
      <c r="J28" s="42">
        <f>IFERROR(IF('📥 Stock Data Input'!H28="","N/A",IF('📥 Stock Data Input'!N28&gt;'📥 Stock Data Input'!H28/100,"✅ Outperform","❌ Underperform")),"N/A")</f>
        <v/>
      </c>
      <c r="K28" s="42">
        <f>IFERROR(IF('📥 Stock Data Input'!I28="","N/A",IF('📥 Stock Data Input'!N28&gt;'📥 Stock Data Input'!I28/100,"✅ Beat Nifty","❌ Lag Nifty")),"N/A")</f>
        <v/>
      </c>
      <c r="L28" s="42">
        <f>IFERROR(IF('📥 Stock Data Input'!A28="","",IF('📥 Stock Data Input'!K28&lt;5000,"⚠️ Tiny Position",IF('📥 Stock Data Input'!N28&lt;0,"🔴 In Loss",IF(AND('📥 Stock Data Input'!I28&lt;&gt;"",'📥 Stock Data Input'!N28&lt;'📥 Stock Data Input'!I28/100),"🟡 Underperform",IF('📥 Stock Data Input'!N28&gt;0.2,"🟢 Strong","🔵 Hold"))))),"")</f>
        <v/>
      </c>
      <c r="M28" s="43">
        <f>IFERROR(IF('📥 Stock Data Input'!A28="","",IF('📥 Stock Data Input'!K28&lt;5000,"Add qty meaningfully or exit — position too small to matter",IF('📥 Stock Data Input'!N28&lt;-0.2,"Consider exit — loss &gt;20%; re-evaluate thesis",IF(AND('📥 Stock Data Input'!I28&lt;&gt;"",'📥 Stock Data Input'!N28&lt;'📥 Stock Data Input'!I28/100),"Lagging benchmark — review thesis; rotate if 2+ years",IF('📥 Stock Data Input'!N28&gt;0.2,"Strong compounder — hold; consider adding on dips","Hold — monitor quarterly; no immediate action"))))),"")</f>
        <v/>
      </c>
    </row>
    <row r="29" ht="18" customHeight="1" s="59">
      <c r="A29" s="44">
        <f>'📥 Stock Data Input'!A29</f>
        <v/>
      </c>
      <c r="B29" s="44">
        <f>'📥 Stock Data Input'!C29</f>
        <v/>
      </c>
      <c r="C29" s="45">
        <f>'📥 Stock Data Input'!D29</f>
        <v/>
      </c>
      <c r="D29" s="34">
        <f>'📥 Stock Data Input'!J29</f>
        <v/>
      </c>
      <c r="E29" s="34">
        <f>'📥 Stock Data Input'!K29</f>
        <v/>
      </c>
      <c r="F29" s="34">
        <f>'📥 Stock Data Input'!L29</f>
        <v/>
      </c>
      <c r="G29" s="35">
        <f>'📥 Stock Data Input'!M29</f>
        <v/>
      </c>
      <c r="H29" s="35">
        <f>'📥 Stock Data Input'!N29</f>
        <v/>
      </c>
      <c r="I29" s="35">
        <f>'📥 Stock Data Input'!O29</f>
        <v/>
      </c>
      <c r="J29" s="46">
        <f>IFERROR(IF('📥 Stock Data Input'!H29="","N/A",IF('📥 Stock Data Input'!N29&gt;'📥 Stock Data Input'!H29/100,"✅ Outperform","❌ Underperform")),"N/A")</f>
        <v/>
      </c>
      <c r="K29" s="46">
        <f>IFERROR(IF('📥 Stock Data Input'!I29="","N/A",IF('📥 Stock Data Input'!N29&gt;'📥 Stock Data Input'!I29/100,"✅ Beat Nifty","❌ Lag Nifty")),"N/A")</f>
        <v/>
      </c>
      <c r="L29" s="46">
        <f>IFERROR(IF('📥 Stock Data Input'!A29="","",IF('📥 Stock Data Input'!K29&lt;5000,"⚠️ Tiny Position",IF('📥 Stock Data Input'!N29&lt;0,"🔴 In Loss",IF(AND('📥 Stock Data Input'!I29&lt;&gt;"",'📥 Stock Data Input'!N29&lt;'📥 Stock Data Input'!I29/100),"🟡 Underperform",IF('📥 Stock Data Input'!N29&gt;0.2,"🟢 Strong","🔵 Hold"))))),"")</f>
        <v/>
      </c>
      <c r="M29" s="47">
        <f>IFERROR(IF('📥 Stock Data Input'!A29="","",IF('📥 Stock Data Input'!K29&lt;5000,"Add qty meaningfully or exit — position too small to matter",IF('📥 Stock Data Input'!N29&lt;-0.2,"Consider exit — loss &gt;20%; re-evaluate thesis",IF(AND('📥 Stock Data Input'!I29&lt;&gt;"",'📥 Stock Data Input'!N29&lt;'📥 Stock Data Input'!I29/100),"Lagging benchmark — review thesis; rotate if 2+ years",IF('📥 Stock Data Input'!N29&gt;0.2,"Strong compounder — hold; consider adding on dips","Hold — monitor quarterly; no immediate action"))))),"")</f>
        <v/>
      </c>
    </row>
    <row r="30" ht="18" customHeight="1" s="59">
      <c r="A30" s="73">
        <f>'📥 Stock Data Input'!A30</f>
        <v/>
      </c>
      <c r="B30" s="73">
        <f>'📥 Stock Data Input'!C30</f>
        <v/>
      </c>
      <c r="C30" s="41">
        <f>'📥 Stock Data Input'!D30</f>
        <v/>
      </c>
      <c r="D30" s="27">
        <f>'📥 Stock Data Input'!J30</f>
        <v/>
      </c>
      <c r="E30" s="27">
        <f>'📥 Stock Data Input'!K30</f>
        <v/>
      </c>
      <c r="F30" s="27">
        <f>'📥 Stock Data Input'!L30</f>
        <v/>
      </c>
      <c r="G30" s="28">
        <f>'📥 Stock Data Input'!M30</f>
        <v/>
      </c>
      <c r="H30" s="28">
        <f>'📥 Stock Data Input'!N30</f>
        <v/>
      </c>
      <c r="I30" s="28">
        <f>'📥 Stock Data Input'!O30</f>
        <v/>
      </c>
      <c r="J30" s="42">
        <f>IFERROR(IF('📥 Stock Data Input'!H30="","N/A",IF('📥 Stock Data Input'!N30&gt;'📥 Stock Data Input'!H30/100,"✅ Outperform","❌ Underperform")),"N/A")</f>
        <v/>
      </c>
      <c r="K30" s="42">
        <f>IFERROR(IF('📥 Stock Data Input'!I30="","N/A",IF('📥 Stock Data Input'!N30&gt;'📥 Stock Data Input'!I30/100,"✅ Beat Nifty","❌ Lag Nifty")),"N/A")</f>
        <v/>
      </c>
      <c r="L30" s="42">
        <f>IFERROR(IF('📥 Stock Data Input'!A30="","",IF('📥 Stock Data Input'!K30&lt;5000,"⚠️ Tiny Position",IF('📥 Stock Data Input'!N30&lt;0,"🔴 In Loss",IF(AND('📥 Stock Data Input'!I30&lt;&gt;"",'📥 Stock Data Input'!N30&lt;'📥 Stock Data Input'!I30/100),"🟡 Underperform",IF('📥 Stock Data Input'!N30&gt;0.2,"🟢 Strong","🔵 Hold"))))),"")</f>
        <v/>
      </c>
      <c r="M30" s="43">
        <f>IFERROR(IF('📥 Stock Data Input'!A30="","",IF('📥 Stock Data Input'!K30&lt;5000,"Add qty meaningfully or exit — position too small to matter",IF('📥 Stock Data Input'!N30&lt;-0.2,"Consider exit — loss &gt;20%; re-evaluate thesis",IF(AND('📥 Stock Data Input'!I30&lt;&gt;"",'📥 Stock Data Input'!N30&lt;'📥 Stock Data Input'!I30/100),"Lagging benchmark — review thesis; rotate if 2+ years",IF('📥 Stock Data Input'!N30&gt;0.2,"Strong compounder — hold; consider adding on dips","Hold — monitor quarterly; no immediate action"))))),"")</f>
        <v/>
      </c>
    </row>
    <row r="31" ht="18" customHeight="1" s="59">
      <c r="A31" s="44">
        <f>'📥 Stock Data Input'!A31</f>
        <v/>
      </c>
      <c r="B31" s="44">
        <f>'📥 Stock Data Input'!C31</f>
        <v/>
      </c>
      <c r="C31" s="45">
        <f>'📥 Stock Data Input'!D31</f>
        <v/>
      </c>
      <c r="D31" s="34">
        <f>'📥 Stock Data Input'!J31</f>
        <v/>
      </c>
      <c r="E31" s="34">
        <f>'📥 Stock Data Input'!K31</f>
        <v/>
      </c>
      <c r="F31" s="34">
        <f>'📥 Stock Data Input'!L31</f>
        <v/>
      </c>
      <c r="G31" s="35">
        <f>'📥 Stock Data Input'!M31</f>
        <v/>
      </c>
      <c r="H31" s="35">
        <f>'📥 Stock Data Input'!N31</f>
        <v/>
      </c>
      <c r="I31" s="35">
        <f>'📥 Stock Data Input'!O31</f>
        <v/>
      </c>
      <c r="J31" s="46">
        <f>IFERROR(IF('📥 Stock Data Input'!H31="","N/A",IF('📥 Stock Data Input'!N31&gt;'📥 Stock Data Input'!H31/100,"✅ Outperform","❌ Underperform")),"N/A")</f>
        <v/>
      </c>
      <c r="K31" s="46">
        <f>IFERROR(IF('📥 Stock Data Input'!I31="","N/A",IF('📥 Stock Data Input'!N31&gt;'📥 Stock Data Input'!I31/100,"✅ Beat Nifty","❌ Lag Nifty")),"N/A")</f>
        <v/>
      </c>
      <c r="L31" s="46">
        <f>IFERROR(IF('📥 Stock Data Input'!A31="","",IF('📥 Stock Data Input'!K31&lt;5000,"⚠️ Tiny Position",IF('📥 Stock Data Input'!N31&lt;0,"🔴 In Loss",IF(AND('📥 Stock Data Input'!I31&lt;&gt;"",'📥 Stock Data Input'!N31&lt;'📥 Stock Data Input'!I31/100),"🟡 Underperform",IF('📥 Stock Data Input'!N31&gt;0.2,"🟢 Strong","🔵 Hold"))))),"")</f>
        <v/>
      </c>
      <c r="M31" s="47">
        <f>IFERROR(IF('📥 Stock Data Input'!A31="","",IF('📥 Stock Data Input'!K31&lt;5000,"Add qty meaningfully or exit — position too small to matter",IF('📥 Stock Data Input'!N31&lt;-0.2,"Consider exit — loss &gt;20%; re-evaluate thesis",IF(AND('📥 Stock Data Input'!I31&lt;&gt;"",'📥 Stock Data Input'!N31&lt;'📥 Stock Data Input'!I31/100),"Lagging benchmark — review thesis; rotate if 2+ years",IF('📥 Stock Data Input'!N31&gt;0.2,"Strong compounder — hold; consider adding on dips","Hold — monitor quarterly; no immediate action"))))),"")</f>
        <v/>
      </c>
    </row>
    <row r="32" ht="18" customHeight="1" s="59">
      <c r="A32" s="73">
        <f>'📥 Stock Data Input'!A32</f>
        <v/>
      </c>
      <c r="B32" s="73">
        <f>'📥 Stock Data Input'!C32</f>
        <v/>
      </c>
      <c r="C32" s="41">
        <f>'📥 Stock Data Input'!D32</f>
        <v/>
      </c>
      <c r="D32" s="27">
        <f>'📥 Stock Data Input'!J32</f>
        <v/>
      </c>
      <c r="E32" s="27">
        <f>'📥 Stock Data Input'!K32</f>
        <v/>
      </c>
      <c r="F32" s="27">
        <f>'📥 Stock Data Input'!L32</f>
        <v/>
      </c>
      <c r="G32" s="28">
        <f>'📥 Stock Data Input'!M32</f>
        <v/>
      </c>
      <c r="H32" s="28">
        <f>'📥 Stock Data Input'!N32</f>
        <v/>
      </c>
      <c r="I32" s="28">
        <f>'📥 Stock Data Input'!O32</f>
        <v/>
      </c>
      <c r="J32" s="42">
        <f>IFERROR(IF('📥 Stock Data Input'!H32="","N/A",IF('📥 Stock Data Input'!N32&gt;'📥 Stock Data Input'!H32/100,"✅ Outperform","❌ Underperform")),"N/A")</f>
        <v/>
      </c>
      <c r="K32" s="42">
        <f>IFERROR(IF('📥 Stock Data Input'!I32="","N/A",IF('📥 Stock Data Input'!N32&gt;'📥 Stock Data Input'!I32/100,"✅ Beat Nifty","❌ Lag Nifty")),"N/A")</f>
        <v/>
      </c>
      <c r="L32" s="42">
        <f>IFERROR(IF('📥 Stock Data Input'!A32="","",IF('📥 Stock Data Input'!K32&lt;5000,"⚠️ Tiny Position",IF('📥 Stock Data Input'!N32&lt;0,"🔴 In Loss",IF(AND('📥 Stock Data Input'!I32&lt;&gt;"",'📥 Stock Data Input'!N32&lt;'📥 Stock Data Input'!I32/100),"🟡 Underperform",IF('📥 Stock Data Input'!N32&gt;0.2,"🟢 Strong","🔵 Hold"))))),"")</f>
        <v/>
      </c>
      <c r="M32" s="43">
        <f>IFERROR(IF('📥 Stock Data Input'!A32="","",IF('📥 Stock Data Input'!K32&lt;5000,"Add qty meaningfully or exit — position too small to matter",IF('📥 Stock Data Input'!N32&lt;-0.2,"Consider exit — loss &gt;20%; re-evaluate thesis",IF(AND('📥 Stock Data Input'!I32&lt;&gt;"",'📥 Stock Data Input'!N32&lt;'📥 Stock Data Input'!I32/100),"Lagging benchmark — review thesis; rotate if 2+ years",IF('📥 Stock Data Input'!N32&gt;0.2,"Strong compounder — hold; consider adding on dips","Hold — monitor quarterly; no immediate action"))))),"")</f>
        <v/>
      </c>
    </row>
    <row r="33" ht="18" customHeight="1" s="59">
      <c r="A33" s="44">
        <f>'📥 Stock Data Input'!A33</f>
        <v/>
      </c>
      <c r="B33" s="44">
        <f>'📥 Stock Data Input'!C33</f>
        <v/>
      </c>
      <c r="C33" s="45">
        <f>'📥 Stock Data Input'!D33</f>
        <v/>
      </c>
      <c r="D33" s="34">
        <f>'📥 Stock Data Input'!J33</f>
        <v/>
      </c>
      <c r="E33" s="34">
        <f>'📥 Stock Data Input'!K33</f>
        <v/>
      </c>
      <c r="F33" s="34">
        <f>'📥 Stock Data Input'!L33</f>
        <v/>
      </c>
      <c r="G33" s="35">
        <f>'📥 Stock Data Input'!M33</f>
        <v/>
      </c>
      <c r="H33" s="35">
        <f>'📥 Stock Data Input'!N33</f>
        <v/>
      </c>
      <c r="I33" s="35">
        <f>'📥 Stock Data Input'!O33</f>
        <v/>
      </c>
      <c r="J33" s="46">
        <f>IFERROR(IF('📥 Stock Data Input'!H33="","N/A",IF('📥 Stock Data Input'!N33&gt;'📥 Stock Data Input'!H33/100,"✅ Outperform","❌ Underperform")),"N/A")</f>
        <v/>
      </c>
      <c r="K33" s="46">
        <f>IFERROR(IF('📥 Stock Data Input'!I33="","N/A",IF('📥 Stock Data Input'!N33&gt;'📥 Stock Data Input'!I33/100,"✅ Beat Nifty","❌ Lag Nifty")),"N/A")</f>
        <v/>
      </c>
      <c r="L33" s="46">
        <f>IFERROR(IF('📥 Stock Data Input'!A33="","",IF('📥 Stock Data Input'!K33&lt;5000,"⚠️ Tiny Position",IF('📥 Stock Data Input'!N33&lt;0,"🔴 In Loss",IF(AND('📥 Stock Data Input'!I33&lt;&gt;"",'📥 Stock Data Input'!N33&lt;'📥 Stock Data Input'!I33/100),"🟡 Underperform",IF('📥 Stock Data Input'!N33&gt;0.2,"🟢 Strong","🔵 Hold"))))),"")</f>
        <v/>
      </c>
      <c r="M33" s="47">
        <f>IFERROR(IF('📥 Stock Data Input'!A33="","",IF('📥 Stock Data Input'!K33&lt;5000,"Add qty meaningfully or exit — position too small to matter",IF('📥 Stock Data Input'!N33&lt;-0.2,"Consider exit — loss &gt;20%; re-evaluate thesis",IF(AND('📥 Stock Data Input'!I33&lt;&gt;"",'📥 Stock Data Input'!N33&lt;'📥 Stock Data Input'!I33/100),"Lagging benchmark — review thesis; rotate if 2+ years",IF('📥 Stock Data Input'!N33&gt;0.2,"Strong compounder — hold; consider adding on dips","Hold — monitor quarterly; no immediate action"))))),"")</f>
        <v/>
      </c>
    </row>
    <row r="34" ht="18" customHeight="1" s="59">
      <c r="A34" s="73">
        <f>'📥 Stock Data Input'!A34</f>
        <v/>
      </c>
      <c r="B34" s="73">
        <f>'📥 Stock Data Input'!C34</f>
        <v/>
      </c>
      <c r="C34" s="41">
        <f>'📥 Stock Data Input'!D34</f>
        <v/>
      </c>
      <c r="D34" s="27">
        <f>'📥 Stock Data Input'!J34</f>
        <v/>
      </c>
      <c r="E34" s="27">
        <f>'📥 Stock Data Input'!K34</f>
        <v/>
      </c>
      <c r="F34" s="27">
        <f>'📥 Stock Data Input'!L34</f>
        <v/>
      </c>
      <c r="G34" s="28">
        <f>'📥 Stock Data Input'!M34</f>
        <v/>
      </c>
      <c r="H34" s="28">
        <f>'📥 Stock Data Input'!N34</f>
        <v/>
      </c>
      <c r="I34" s="28">
        <f>'📥 Stock Data Input'!O34</f>
        <v/>
      </c>
      <c r="J34" s="42">
        <f>IFERROR(IF('📥 Stock Data Input'!H34="","N/A",IF('📥 Stock Data Input'!N34&gt;'📥 Stock Data Input'!H34/100,"✅ Outperform","❌ Underperform")),"N/A")</f>
        <v/>
      </c>
      <c r="K34" s="42">
        <f>IFERROR(IF('📥 Stock Data Input'!I34="","N/A",IF('📥 Stock Data Input'!N34&gt;'📥 Stock Data Input'!I34/100,"✅ Beat Nifty","❌ Lag Nifty")),"N/A")</f>
        <v/>
      </c>
      <c r="L34" s="42">
        <f>IFERROR(IF('📥 Stock Data Input'!A34="","",IF('📥 Stock Data Input'!K34&lt;5000,"⚠️ Tiny Position",IF('📥 Stock Data Input'!N34&lt;0,"🔴 In Loss",IF(AND('📥 Stock Data Input'!I34&lt;&gt;"",'📥 Stock Data Input'!N34&lt;'📥 Stock Data Input'!I34/100),"🟡 Underperform",IF('📥 Stock Data Input'!N34&gt;0.2,"🟢 Strong","🔵 Hold"))))),"")</f>
        <v/>
      </c>
      <c r="M34" s="43">
        <f>IFERROR(IF('📥 Stock Data Input'!A34="","",IF('📥 Stock Data Input'!K34&lt;5000,"Add qty meaningfully or exit — position too small to matter",IF('📥 Stock Data Input'!N34&lt;-0.2,"Consider exit — loss &gt;20%; re-evaluate thesis",IF(AND('📥 Stock Data Input'!I34&lt;&gt;"",'📥 Stock Data Input'!N34&lt;'📥 Stock Data Input'!I34/100),"Lagging benchmark — review thesis; rotate if 2+ years",IF('📥 Stock Data Input'!N34&gt;0.2,"Strong compounder — hold; consider adding on dips","Hold — monitor quarterly; no immediate action"))))),"")</f>
        <v/>
      </c>
    </row>
    <row r="35" ht="18" customHeight="1" s="59">
      <c r="A35" s="44">
        <f>'📥 Stock Data Input'!A35</f>
        <v/>
      </c>
      <c r="B35" s="44">
        <f>'📥 Stock Data Input'!C35</f>
        <v/>
      </c>
      <c r="C35" s="45">
        <f>'📥 Stock Data Input'!D35</f>
        <v/>
      </c>
      <c r="D35" s="34">
        <f>'📥 Stock Data Input'!J35</f>
        <v/>
      </c>
      <c r="E35" s="34">
        <f>'📥 Stock Data Input'!K35</f>
        <v/>
      </c>
      <c r="F35" s="34">
        <f>'📥 Stock Data Input'!L35</f>
        <v/>
      </c>
      <c r="G35" s="35">
        <f>'📥 Stock Data Input'!M35</f>
        <v/>
      </c>
      <c r="H35" s="35">
        <f>'📥 Stock Data Input'!N35</f>
        <v/>
      </c>
      <c r="I35" s="35">
        <f>'📥 Stock Data Input'!O35</f>
        <v/>
      </c>
      <c r="J35" s="46">
        <f>IFERROR(IF('📥 Stock Data Input'!H35="","N/A",IF('📥 Stock Data Input'!N35&gt;'📥 Stock Data Input'!H35/100,"✅ Outperform","❌ Underperform")),"N/A")</f>
        <v/>
      </c>
      <c r="K35" s="46">
        <f>IFERROR(IF('📥 Stock Data Input'!I35="","N/A",IF('📥 Stock Data Input'!N35&gt;'📥 Stock Data Input'!I35/100,"✅ Beat Nifty","❌ Lag Nifty")),"N/A")</f>
        <v/>
      </c>
      <c r="L35" s="46">
        <f>IFERROR(IF('📥 Stock Data Input'!A35="","",IF('📥 Stock Data Input'!K35&lt;5000,"⚠️ Tiny Position",IF('📥 Stock Data Input'!N35&lt;0,"🔴 In Loss",IF(AND('📥 Stock Data Input'!I35&lt;&gt;"",'📥 Stock Data Input'!N35&lt;'📥 Stock Data Input'!I35/100),"🟡 Underperform",IF('📥 Stock Data Input'!N35&gt;0.2,"🟢 Strong","🔵 Hold"))))),"")</f>
        <v/>
      </c>
      <c r="M35" s="47">
        <f>IFERROR(IF('📥 Stock Data Input'!A35="","",IF('📥 Stock Data Input'!K35&lt;5000,"Add qty meaningfully or exit — position too small to matter",IF('📥 Stock Data Input'!N35&lt;-0.2,"Consider exit — loss &gt;20%; re-evaluate thesis",IF(AND('📥 Stock Data Input'!I35&lt;&gt;"",'📥 Stock Data Input'!N35&lt;'📥 Stock Data Input'!I35/100),"Lagging benchmark — review thesis; rotate if 2+ years",IF('📥 Stock Data Input'!N35&gt;0.2,"Strong compounder — hold; consider adding on dips","Hold — monitor quarterly; no immediate action"))))),"")</f>
        <v/>
      </c>
    </row>
    <row r="36" ht="18" customHeight="1" s="59">
      <c r="A36" s="73">
        <f>'📥 Stock Data Input'!A36</f>
        <v/>
      </c>
      <c r="B36" s="73">
        <f>'📥 Stock Data Input'!C36</f>
        <v/>
      </c>
      <c r="C36" s="41">
        <f>'📥 Stock Data Input'!D36</f>
        <v/>
      </c>
      <c r="D36" s="27">
        <f>'📥 Stock Data Input'!J36</f>
        <v/>
      </c>
      <c r="E36" s="27">
        <f>'📥 Stock Data Input'!K36</f>
        <v/>
      </c>
      <c r="F36" s="27">
        <f>'📥 Stock Data Input'!L36</f>
        <v/>
      </c>
      <c r="G36" s="28">
        <f>'📥 Stock Data Input'!M36</f>
        <v/>
      </c>
      <c r="H36" s="28">
        <f>'📥 Stock Data Input'!N36</f>
        <v/>
      </c>
      <c r="I36" s="28">
        <f>'📥 Stock Data Input'!O36</f>
        <v/>
      </c>
      <c r="J36" s="42">
        <f>IFERROR(IF('📥 Stock Data Input'!H36="","N/A",IF('📥 Stock Data Input'!N36&gt;'📥 Stock Data Input'!H36/100,"✅ Outperform","❌ Underperform")),"N/A")</f>
        <v/>
      </c>
      <c r="K36" s="42">
        <f>IFERROR(IF('📥 Stock Data Input'!I36="","N/A",IF('📥 Stock Data Input'!N36&gt;'📥 Stock Data Input'!I36/100,"✅ Beat Nifty","❌ Lag Nifty")),"N/A")</f>
        <v/>
      </c>
      <c r="L36" s="42">
        <f>IFERROR(IF('📥 Stock Data Input'!A36="","",IF('📥 Stock Data Input'!K36&lt;5000,"⚠️ Tiny Position",IF('📥 Stock Data Input'!N36&lt;0,"🔴 In Loss",IF(AND('📥 Stock Data Input'!I36&lt;&gt;"",'📥 Stock Data Input'!N36&lt;'📥 Stock Data Input'!I36/100),"🟡 Underperform",IF('📥 Stock Data Input'!N36&gt;0.2,"🟢 Strong","🔵 Hold"))))),"")</f>
        <v/>
      </c>
      <c r="M36" s="43">
        <f>IFERROR(IF('📥 Stock Data Input'!A36="","",IF('📥 Stock Data Input'!K36&lt;5000,"Add qty meaningfully or exit — position too small to matter",IF('📥 Stock Data Input'!N36&lt;-0.2,"Consider exit — loss &gt;20%; re-evaluate thesis",IF(AND('📥 Stock Data Input'!I36&lt;&gt;"",'📥 Stock Data Input'!N36&lt;'📥 Stock Data Input'!I36/100),"Lagging benchmark — review thesis; rotate if 2+ years",IF('📥 Stock Data Input'!N36&gt;0.2,"Strong compounder — hold; consider adding on dips","Hold — monitor quarterly; no immediate action"))))),"")</f>
        <v/>
      </c>
    </row>
    <row r="37" ht="18" customHeight="1" s="59">
      <c r="A37" s="44">
        <f>'📥 Stock Data Input'!A37</f>
        <v/>
      </c>
      <c r="B37" s="44">
        <f>'📥 Stock Data Input'!C37</f>
        <v/>
      </c>
      <c r="C37" s="45">
        <f>'📥 Stock Data Input'!D37</f>
        <v/>
      </c>
      <c r="D37" s="34">
        <f>'📥 Stock Data Input'!J37</f>
        <v/>
      </c>
      <c r="E37" s="34">
        <f>'📥 Stock Data Input'!K37</f>
        <v/>
      </c>
      <c r="F37" s="34">
        <f>'📥 Stock Data Input'!L37</f>
        <v/>
      </c>
      <c r="G37" s="35">
        <f>'📥 Stock Data Input'!M37</f>
        <v/>
      </c>
      <c r="H37" s="35">
        <f>'📥 Stock Data Input'!N37</f>
        <v/>
      </c>
      <c r="I37" s="35">
        <f>'📥 Stock Data Input'!O37</f>
        <v/>
      </c>
      <c r="J37" s="46">
        <f>IFERROR(IF('📥 Stock Data Input'!H37="","N/A",IF('📥 Stock Data Input'!N37&gt;'📥 Stock Data Input'!H37/100,"✅ Outperform","❌ Underperform")),"N/A")</f>
        <v/>
      </c>
      <c r="K37" s="46">
        <f>IFERROR(IF('📥 Stock Data Input'!I37="","N/A",IF('📥 Stock Data Input'!N37&gt;'📥 Stock Data Input'!I37/100,"✅ Beat Nifty","❌ Lag Nifty")),"N/A")</f>
        <v/>
      </c>
      <c r="L37" s="46">
        <f>IFERROR(IF('📥 Stock Data Input'!A37="","",IF('📥 Stock Data Input'!K37&lt;5000,"⚠️ Tiny Position",IF('📥 Stock Data Input'!N37&lt;0,"🔴 In Loss",IF(AND('📥 Stock Data Input'!I37&lt;&gt;"",'📥 Stock Data Input'!N37&lt;'📥 Stock Data Input'!I37/100),"🟡 Underperform",IF('📥 Stock Data Input'!N37&gt;0.2,"🟢 Strong","🔵 Hold"))))),"")</f>
        <v/>
      </c>
      <c r="M37" s="47">
        <f>IFERROR(IF('📥 Stock Data Input'!A37="","",IF('📥 Stock Data Input'!K37&lt;5000,"Add qty meaningfully or exit — position too small to matter",IF('📥 Stock Data Input'!N37&lt;-0.2,"Consider exit — loss &gt;20%; re-evaluate thesis",IF(AND('📥 Stock Data Input'!I37&lt;&gt;"",'📥 Stock Data Input'!N37&lt;'📥 Stock Data Input'!I37/100),"Lagging benchmark — review thesis; rotate if 2+ years",IF('📥 Stock Data Input'!N37&gt;0.2,"Strong compounder — hold; consider adding on dips","Hold — monitor quarterly; no immediate action"))))),"")</f>
        <v/>
      </c>
    </row>
    <row r="38" ht="18" customHeight="1" s="59">
      <c r="A38" s="73">
        <f>'📥 Stock Data Input'!A38</f>
        <v/>
      </c>
      <c r="B38" s="73">
        <f>'📥 Stock Data Input'!C38</f>
        <v/>
      </c>
      <c r="C38" s="41">
        <f>'📥 Stock Data Input'!D38</f>
        <v/>
      </c>
      <c r="D38" s="27">
        <f>'📥 Stock Data Input'!J38</f>
        <v/>
      </c>
      <c r="E38" s="27">
        <f>'📥 Stock Data Input'!K38</f>
        <v/>
      </c>
      <c r="F38" s="27">
        <f>'📥 Stock Data Input'!L38</f>
        <v/>
      </c>
      <c r="G38" s="28">
        <f>'📥 Stock Data Input'!M38</f>
        <v/>
      </c>
      <c r="H38" s="28">
        <f>'📥 Stock Data Input'!N38</f>
        <v/>
      </c>
      <c r="I38" s="28">
        <f>'📥 Stock Data Input'!O38</f>
        <v/>
      </c>
      <c r="J38" s="42">
        <f>IFERROR(IF('📥 Stock Data Input'!H38="","N/A",IF('📥 Stock Data Input'!N38&gt;'📥 Stock Data Input'!H38/100,"✅ Outperform","❌ Underperform")),"N/A")</f>
        <v/>
      </c>
      <c r="K38" s="42">
        <f>IFERROR(IF('📥 Stock Data Input'!I38="","N/A",IF('📥 Stock Data Input'!N38&gt;'📥 Stock Data Input'!I38/100,"✅ Beat Nifty","❌ Lag Nifty")),"N/A")</f>
        <v/>
      </c>
      <c r="L38" s="42">
        <f>IFERROR(IF('📥 Stock Data Input'!A38="","",IF('📥 Stock Data Input'!K38&lt;5000,"⚠️ Tiny Position",IF('📥 Stock Data Input'!N38&lt;0,"🔴 In Loss",IF(AND('📥 Stock Data Input'!I38&lt;&gt;"",'📥 Stock Data Input'!N38&lt;'📥 Stock Data Input'!I38/100),"🟡 Underperform",IF('📥 Stock Data Input'!N38&gt;0.2,"🟢 Strong","🔵 Hold"))))),"")</f>
        <v/>
      </c>
      <c r="M38" s="43">
        <f>IFERROR(IF('📥 Stock Data Input'!A38="","",IF('📥 Stock Data Input'!K38&lt;5000,"Add qty meaningfully or exit — position too small to matter",IF('📥 Stock Data Input'!N38&lt;-0.2,"Consider exit — loss &gt;20%; re-evaluate thesis",IF(AND('📥 Stock Data Input'!I38&lt;&gt;"",'📥 Stock Data Input'!N38&lt;'📥 Stock Data Input'!I38/100),"Lagging benchmark — review thesis; rotate if 2+ years",IF('📥 Stock Data Input'!N38&gt;0.2,"Strong compounder — hold; consider adding on dips","Hold — monitor quarterly; no immediate action"))))),"")</f>
        <v/>
      </c>
    </row>
    <row r="39" ht="18" customHeight="1" s="59">
      <c r="A39" s="44">
        <f>'📥 Stock Data Input'!A39</f>
        <v/>
      </c>
      <c r="B39" s="44">
        <f>'📥 Stock Data Input'!C39</f>
        <v/>
      </c>
      <c r="C39" s="45">
        <f>'📥 Stock Data Input'!D39</f>
        <v/>
      </c>
      <c r="D39" s="34">
        <f>'📥 Stock Data Input'!J39</f>
        <v/>
      </c>
      <c r="E39" s="34">
        <f>'📥 Stock Data Input'!K39</f>
        <v/>
      </c>
      <c r="F39" s="34">
        <f>'📥 Stock Data Input'!L39</f>
        <v/>
      </c>
      <c r="G39" s="35">
        <f>'📥 Stock Data Input'!M39</f>
        <v/>
      </c>
      <c r="H39" s="35">
        <f>'📥 Stock Data Input'!N39</f>
        <v/>
      </c>
      <c r="I39" s="35">
        <f>'📥 Stock Data Input'!O39</f>
        <v/>
      </c>
      <c r="J39" s="46">
        <f>IFERROR(IF('📥 Stock Data Input'!H39="","N/A",IF('📥 Stock Data Input'!N39&gt;'📥 Stock Data Input'!H39/100,"✅ Outperform","❌ Underperform")),"N/A")</f>
        <v/>
      </c>
      <c r="K39" s="46">
        <f>IFERROR(IF('📥 Stock Data Input'!I39="","N/A",IF('📥 Stock Data Input'!N39&gt;'📥 Stock Data Input'!I39/100,"✅ Beat Nifty","❌ Lag Nifty")),"N/A")</f>
        <v/>
      </c>
      <c r="L39" s="46">
        <f>IFERROR(IF('📥 Stock Data Input'!A39="","",IF('📥 Stock Data Input'!K39&lt;5000,"⚠️ Tiny Position",IF('📥 Stock Data Input'!N39&lt;0,"🔴 In Loss",IF(AND('📥 Stock Data Input'!I39&lt;&gt;"",'📥 Stock Data Input'!N39&lt;'📥 Stock Data Input'!I39/100),"🟡 Underperform",IF('📥 Stock Data Input'!N39&gt;0.2,"🟢 Strong","🔵 Hold"))))),"")</f>
        <v/>
      </c>
      <c r="M39" s="47">
        <f>IFERROR(IF('📥 Stock Data Input'!A39="","",IF('📥 Stock Data Input'!K39&lt;5000,"Add qty meaningfully or exit — position too small to matter",IF('📥 Stock Data Input'!N39&lt;-0.2,"Consider exit — loss &gt;20%; re-evaluate thesis",IF(AND('📥 Stock Data Input'!I39&lt;&gt;"",'📥 Stock Data Input'!N39&lt;'📥 Stock Data Input'!I39/100),"Lagging benchmark — review thesis; rotate if 2+ years",IF('📥 Stock Data Input'!N39&gt;0.2,"Strong compounder — hold; consider adding on dips","Hold — monitor quarterly; no immediate action"))))),"")</f>
        <v/>
      </c>
    </row>
    <row r="40" ht="18" customHeight="1" s="59">
      <c r="A40" s="73">
        <f>'📥 Stock Data Input'!A40</f>
        <v/>
      </c>
      <c r="B40" s="73">
        <f>'📥 Stock Data Input'!C40</f>
        <v/>
      </c>
      <c r="C40" s="41">
        <f>'📥 Stock Data Input'!D40</f>
        <v/>
      </c>
      <c r="D40" s="27">
        <f>'📥 Stock Data Input'!J40</f>
        <v/>
      </c>
      <c r="E40" s="27">
        <f>'📥 Stock Data Input'!K40</f>
        <v/>
      </c>
      <c r="F40" s="27">
        <f>'📥 Stock Data Input'!L40</f>
        <v/>
      </c>
      <c r="G40" s="28">
        <f>'📥 Stock Data Input'!M40</f>
        <v/>
      </c>
      <c r="H40" s="28">
        <f>'📥 Stock Data Input'!N40</f>
        <v/>
      </c>
      <c r="I40" s="28">
        <f>'📥 Stock Data Input'!O40</f>
        <v/>
      </c>
      <c r="J40" s="42">
        <f>IFERROR(IF('📥 Stock Data Input'!H40="","N/A",IF('📥 Stock Data Input'!N40&gt;'📥 Stock Data Input'!H40/100,"✅ Outperform","❌ Underperform")),"N/A")</f>
        <v/>
      </c>
      <c r="K40" s="42">
        <f>IFERROR(IF('📥 Stock Data Input'!I40="","N/A",IF('📥 Stock Data Input'!N40&gt;'📥 Stock Data Input'!I40/100,"✅ Beat Nifty","❌ Lag Nifty")),"N/A")</f>
        <v/>
      </c>
      <c r="L40" s="42">
        <f>IFERROR(IF('📥 Stock Data Input'!A40="","",IF('📥 Stock Data Input'!K40&lt;5000,"⚠️ Tiny Position",IF('📥 Stock Data Input'!N40&lt;0,"🔴 In Loss",IF(AND('📥 Stock Data Input'!I40&lt;&gt;"",'📥 Stock Data Input'!N40&lt;'📥 Stock Data Input'!I40/100),"🟡 Underperform",IF('📥 Stock Data Input'!N40&gt;0.2,"🟢 Strong","🔵 Hold"))))),"")</f>
        <v/>
      </c>
      <c r="M40" s="43">
        <f>IFERROR(IF('📥 Stock Data Input'!A40="","",IF('📥 Stock Data Input'!K40&lt;5000,"Add qty meaningfully or exit — position too small to matter",IF('📥 Stock Data Input'!N40&lt;-0.2,"Consider exit — loss &gt;20%; re-evaluate thesis",IF(AND('📥 Stock Data Input'!I40&lt;&gt;"",'📥 Stock Data Input'!N40&lt;'📥 Stock Data Input'!I40/100),"Lagging benchmark — review thesis; rotate if 2+ years",IF('📥 Stock Data Input'!N40&gt;0.2,"Strong compounder — hold; consider adding on dips","Hold — monitor quarterly; no immediate action"))))),"")</f>
        <v/>
      </c>
    </row>
    <row r="41" ht="18" customHeight="1" s="59">
      <c r="A41" s="44">
        <f>'📥 Stock Data Input'!A41</f>
        <v/>
      </c>
      <c r="B41" s="44">
        <f>'📥 Stock Data Input'!C41</f>
        <v/>
      </c>
      <c r="C41" s="45">
        <f>'📥 Stock Data Input'!D41</f>
        <v/>
      </c>
      <c r="D41" s="34">
        <f>'📥 Stock Data Input'!J41</f>
        <v/>
      </c>
      <c r="E41" s="34">
        <f>'📥 Stock Data Input'!K41</f>
        <v/>
      </c>
      <c r="F41" s="34">
        <f>'📥 Stock Data Input'!L41</f>
        <v/>
      </c>
      <c r="G41" s="35">
        <f>'📥 Stock Data Input'!M41</f>
        <v/>
      </c>
      <c r="H41" s="35">
        <f>'📥 Stock Data Input'!N41</f>
        <v/>
      </c>
      <c r="I41" s="35">
        <f>'📥 Stock Data Input'!O41</f>
        <v/>
      </c>
      <c r="J41" s="46">
        <f>IFERROR(IF('📥 Stock Data Input'!H41="","N/A",IF('📥 Stock Data Input'!N41&gt;'📥 Stock Data Input'!H41/100,"✅ Outperform","❌ Underperform")),"N/A")</f>
        <v/>
      </c>
      <c r="K41" s="46">
        <f>IFERROR(IF('📥 Stock Data Input'!I41="","N/A",IF('📥 Stock Data Input'!N41&gt;'📥 Stock Data Input'!I41/100,"✅ Beat Nifty","❌ Lag Nifty")),"N/A")</f>
        <v/>
      </c>
      <c r="L41" s="46">
        <f>IFERROR(IF('📥 Stock Data Input'!A41="","",IF('📥 Stock Data Input'!K41&lt;5000,"⚠️ Tiny Position",IF('📥 Stock Data Input'!N41&lt;0,"🔴 In Loss",IF(AND('📥 Stock Data Input'!I41&lt;&gt;"",'📥 Stock Data Input'!N41&lt;'📥 Stock Data Input'!I41/100),"🟡 Underperform",IF('📥 Stock Data Input'!N41&gt;0.2,"🟢 Strong","🔵 Hold"))))),"")</f>
        <v/>
      </c>
      <c r="M41" s="47">
        <f>IFERROR(IF('📥 Stock Data Input'!A41="","",IF('📥 Stock Data Input'!K41&lt;5000,"Add qty meaningfully or exit — position too small to matter",IF('📥 Stock Data Input'!N41&lt;-0.2,"Consider exit — loss &gt;20%; re-evaluate thesis",IF(AND('📥 Stock Data Input'!I41&lt;&gt;"",'📥 Stock Data Input'!N41&lt;'📥 Stock Data Input'!I41/100),"Lagging benchmark — review thesis; rotate if 2+ years",IF('📥 Stock Data Input'!N41&gt;0.2,"Strong compounder — hold; consider adding on dips","Hold — monitor quarterly; no immediate action"))))),"")</f>
        <v/>
      </c>
    </row>
    <row r="42" ht="18" customHeight="1" s="59">
      <c r="A42" s="73">
        <f>'📥 Stock Data Input'!A42</f>
        <v/>
      </c>
      <c r="B42" s="73">
        <f>'📥 Stock Data Input'!C42</f>
        <v/>
      </c>
      <c r="C42" s="41">
        <f>'📥 Stock Data Input'!D42</f>
        <v/>
      </c>
      <c r="D42" s="27">
        <f>'📥 Stock Data Input'!J42</f>
        <v/>
      </c>
      <c r="E42" s="27">
        <f>'📥 Stock Data Input'!K42</f>
        <v/>
      </c>
      <c r="F42" s="27">
        <f>'📥 Stock Data Input'!L42</f>
        <v/>
      </c>
      <c r="G42" s="28">
        <f>'📥 Stock Data Input'!M42</f>
        <v/>
      </c>
      <c r="H42" s="28">
        <f>'📥 Stock Data Input'!N42</f>
        <v/>
      </c>
      <c r="I42" s="28">
        <f>'📥 Stock Data Input'!O42</f>
        <v/>
      </c>
      <c r="J42" s="42">
        <f>IFERROR(IF('📥 Stock Data Input'!H42="","N/A",IF('📥 Stock Data Input'!N42&gt;'📥 Stock Data Input'!H42/100,"✅ Outperform","❌ Underperform")),"N/A")</f>
        <v/>
      </c>
      <c r="K42" s="42">
        <f>IFERROR(IF('📥 Stock Data Input'!I42="","N/A",IF('📥 Stock Data Input'!N42&gt;'📥 Stock Data Input'!I42/100,"✅ Beat Nifty","❌ Lag Nifty")),"N/A")</f>
        <v/>
      </c>
      <c r="L42" s="42">
        <f>IFERROR(IF('📥 Stock Data Input'!A42="","",IF('📥 Stock Data Input'!K42&lt;5000,"⚠️ Tiny Position",IF('📥 Stock Data Input'!N42&lt;0,"🔴 In Loss",IF(AND('📥 Stock Data Input'!I42&lt;&gt;"",'📥 Stock Data Input'!N42&lt;'📥 Stock Data Input'!I42/100),"🟡 Underperform",IF('📥 Stock Data Input'!N42&gt;0.2,"🟢 Strong","🔵 Hold"))))),"")</f>
        <v/>
      </c>
      <c r="M42" s="43">
        <f>IFERROR(IF('📥 Stock Data Input'!A42="","",IF('📥 Stock Data Input'!K42&lt;5000,"Add qty meaningfully or exit — position too small to matter",IF('📥 Stock Data Input'!N42&lt;-0.2,"Consider exit — loss &gt;20%; re-evaluate thesis",IF(AND('📥 Stock Data Input'!I42&lt;&gt;"",'📥 Stock Data Input'!N42&lt;'📥 Stock Data Input'!I42/100),"Lagging benchmark — review thesis; rotate if 2+ years",IF('📥 Stock Data Input'!N42&gt;0.2,"Strong compounder — hold; consider adding on dips","Hold — monitor quarterly; no immediate action"))))),"")</f>
        <v/>
      </c>
    </row>
    <row r="43" ht="18" customHeight="1" s="59">
      <c r="A43" s="44">
        <f>'📥 Stock Data Input'!A43</f>
        <v/>
      </c>
      <c r="B43" s="44">
        <f>'📥 Stock Data Input'!C43</f>
        <v/>
      </c>
      <c r="C43" s="45">
        <f>'📥 Stock Data Input'!D43</f>
        <v/>
      </c>
      <c r="D43" s="34">
        <f>'📥 Stock Data Input'!J43</f>
        <v/>
      </c>
      <c r="E43" s="34">
        <f>'📥 Stock Data Input'!K43</f>
        <v/>
      </c>
      <c r="F43" s="34">
        <f>'📥 Stock Data Input'!L43</f>
        <v/>
      </c>
      <c r="G43" s="35">
        <f>'📥 Stock Data Input'!M43</f>
        <v/>
      </c>
      <c r="H43" s="35">
        <f>'📥 Stock Data Input'!N43</f>
        <v/>
      </c>
      <c r="I43" s="35">
        <f>'📥 Stock Data Input'!O43</f>
        <v/>
      </c>
      <c r="J43" s="46">
        <f>IFERROR(IF('📥 Stock Data Input'!H43="","N/A",IF('📥 Stock Data Input'!N43&gt;'📥 Stock Data Input'!H43/100,"✅ Outperform","❌ Underperform")),"N/A")</f>
        <v/>
      </c>
      <c r="K43" s="46">
        <f>IFERROR(IF('📥 Stock Data Input'!I43="","N/A",IF('📥 Stock Data Input'!N43&gt;'📥 Stock Data Input'!I43/100,"✅ Beat Nifty","❌ Lag Nifty")),"N/A")</f>
        <v/>
      </c>
      <c r="L43" s="46">
        <f>IFERROR(IF('📥 Stock Data Input'!A43="","",IF('📥 Stock Data Input'!K43&lt;5000,"⚠️ Tiny Position",IF('📥 Stock Data Input'!N43&lt;0,"🔴 In Loss",IF(AND('📥 Stock Data Input'!I43&lt;&gt;"",'📥 Stock Data Input'!N43&lt;'📥 Stock Data Input'!I43/100),"🟡 Underperform",IF('📥 Stock Data Input'!N43&gt;0.2,"🟢 Strong","🔵 Hold"))))),"")</f>
        <v/>
      </c>
      <c r="M43" s="47">
        <f>IFERROR(IF('📥 Stock Data Input'!A43="","",IF('📥 Stock Data Input'!K43&lt;5000,"Add qty meaningfully or exit — position too small to matter",IF('📥 Stock Data Input'!N43&lt;-0.2,"Consider exit — loss &gt;20%; re-evaluate thesis",IF(AND('📥 Stock Data Input'!I43&lt;&gt;"",'📥 Stock Data Input'!N43&lt;'📥 Stock Data Input'!I43/100),"Lagging benchmark — review thesis; rotate if 2+ years",IF('📥 Stock Data Input'!N43&gt;0.2,"Strong compounder — hold; consider adding on dips","Hold — monitor quarterly; no immediate action"))))),"")</f>
        <v/>
      </c>
    </row>
    <row r="44" ht="18" customHeight="1" s="59">
      <c r="A44" s="73">
        <f>'📥 Stock Data Input'!A44</f>
        <v/>
      </c>
      <c r="B44" s="73">
        <f>'📥 Stock Data Input'!C44</f>
        <v/>
      </c>
      <c r="C44" s="41">
        <f>'📥 Stock Data Input'!D44</f>
        <v/>
      </c>
      <c r="D44" s="27">
        <f>'📥 Stock Data Input'!J44</f>
        <v/>
      </c>
      <c r="E44" s="27">
        <f>'📥 Stock Data Input'!K44</f>
        <v/>
      </c>
      <c r="F44" s="27">
        <f>'📥 Stock Data Input'!L44</f>
        <v/>
      </c>
      <c r="G44" s="28">
        <f>'📥 Stock Data Input'!M44</f>
        <v/>
      </c>
      <c r="H44" s="28">
        <f>'📥 Stock Data Input'!N44</f>
        <v/>
      </c>
      <c r="I44" s="28">
        <f>'📥 Stock Data Input'!O44</f>
        <v/>
      </c>
      <c r="J44" s="42">
        <f>IFERROR(IF('📥 Stock Data Input'!H44="","N/A",IF('📥 Stock Data Input'!N44&gt;'📥 Stock Data Input'!H44/100,"✅ Outperform","❌ Underperform")),"N/A")</f>
        <v/>
      </c>
      <c r="K44" s="42">
        <f>IFERROR(IF('📥 Stock Data Input'!I44="","N/A",IF('📥 Stock Data Input'!N44&gt;'📥 Stock Data Input'!I44/100,"✅ Beat Nifty","❌ Lag Nifty")),"N/A")</f>
        <v/>
      </c>
      <c r="L44" s="42">
        <f>IFERROR(IF('📥 Stock Data Input'!A44="","",IF('📥 Stock Data Input'!K44&lt;5000,"⚠️ Tiny Position",IF('📥 Stock Data Input'!N44&lt;0,"🔴 In Loss",IF(AND('📥 Stock Data Input'!I44&lt;&gt;"",'📥 Stock Data Input'!N44&lt;'📥 Stock Data Input'!I44/100),"🟡 Underperform",IF('📥 Stock Data Input'!N44&gt;0.2,"🟢 Strong","🔵 Hold"))))),"")</f>
        <v/>
      </c>
      <c r="M44" s="43">
        <f>IFERROR(IF('📥 Stock Data Input'!A44="","",IF('📥 Stock Data Input'!K44&lt;5000,"Add qty meaningfully or exit — position too small to matter",IF('📥 Stock Data Input'!N44&lt;-0.2,"Consider exit — loss &gt;20%; re-evaluate thesis",IF(AND('📥 Stock Data Input'!I44&lt;&gt;"",'📥 Stock Data Input'!N44&lt;'📥 Stock Data Input'!I44/100),"Lagging benchmark — review thesis; rotate if 2+ years",IF('📥 Stock Data Input'!N44&gt;0.2,"Strong compounder — hold; consider adding on dips","Hold — monitor quarterly; no immediate action"))))),"")</f>
        <v/>
      </c>
    </row>
    <row r="45" ht="18" customHeight="1" s="59">
      <c r="A45" s="44">
        <f>'📥 Stock Data Input'!A45</f>
        <v/>
      </c>
      <c r="B45" s="44">
        <f>'📥 Stock Data Input'!C45</f>
        <v/>
      </c>
      <c r="C45" s="45">
        <f>'📥 Stock Data Input'!D45</f>
        <v/>
      </c>
      <c r="D45" s="34">
        <f>'📥 Stock Data Input'!J45</f>
        <v/>
      </c>
      <c r="E45" s="34">
        <f>'📥 Stock Data Input'!K45</f>
        <v/>
      </c>
      <c r="F45" s="34">
        <f>'📥 Stock Data Input'!L45</f>
        <v/>
      </c>
      <c r="G45" s="35">
        <f>'📥 Stock Data Input'!M45</f>
        <v/>
      </c>
      <c r="H45" s="35">
        <f>'📥 Stock Data Input'!N45</f>
        <v/>
      </c>
      <c r="I45" s="35">
        <f>'📥 Stock Data Input'!O45</f>
        <v/>
      </c>
      <c r="J45" s="46">
        <f>IFERROR(IF('📥 Stock Data Input'!H45="","N/A",IF('📥 Stock Data Input'!N45&gt;'📥 Stock Data Input'!H45/100,"✅ Outperform","❌ Underperform")),"N/A")</f>
        <v/>
      </c>
      <c r="K45" s="46">
        <f>IFERROR(IF('📥 Stock Data Input'!I45="","N/A",IF('📥 Stock Data Input'!N45&gt;'📥 Stock Data Input'!I45/100,"✅ Beat Nifty","❌ Lag Nifty")),"N/A")</f>
        <v/>
      </c>
      <c r="L45" s="46">
        <f>IFERROR(IF('📥 Stock Data Input'!A45="","",IF('📥 Stock Data Input'!K45&lt;5000,"⚠️ Tiny Position",IF('📥 Stock Data Input'!N45&lt;0,"🔴 In Loss",IF(AND('📥 Stock Data Input'!I45&lt;&gt;"",'📥 Stock Data Input'!N45&lt;'📥 Stock Data Input'!I45/100),"🟡 Underperform",IF('📥 Stock Data Input'!N45&gt;0.2,"🟢 Strong","🔵 Hold"))))),"")</f>
        <v/>
      </c>
      <c r="M45" s="47">
        <f>IFERROR(IF('📥 Stock Data Input'!A45="","",IF('📥 Stock Data Input'!K45&lt;5000,"Add qty meaningfully or exit — position too small to matter",IF('📥 Stock Data Input'!N45&lt;-0.2,"Consider exit — loss &gt;20%; re-evaluate thesis",IF(AND('📥 Stock Data Input'!I45&lt;&gt;"",'📥 Stock Data Input'!N45&lt;'📥 Stock Data Input'!I45/100),"Lagging benchmark — review thesis; rotate if 2+ years",IF('📥 Stock Data Input'!N45&gt;0.2,"Strong compounder — hold; consider adding on dips","Hold — monitor quarterly; no immediate action"))))),"")</f>
        <v/>
      </c>
    </row>
    <row r="46" ht="18" customHeight="1" s="59">
      <c r="A46" s="73">
        <f>'📥 Stock Data Input'!A46</f>
        <v/>
      </c>
      <c r="B46" s="73">
        <f>'📥 Stock Data Input'!C46</f>
        <v/>
      </c>
      <c r="C46" s="41">
        <f>'📥 Stock Data Input'!D46</f>
        <v/>
      </c>
      <c r="D46" s="27">
        <f>'📥 Stock Data Input'!J46</f>
        <v/>
      </c>
      <c r="E46" s="27">
        <f>'📥 Stock Data Input'!K46</f>
        <v/>
      </c>
      <c r="F46" s="27">
        <f>'📥 Stock Data Input'!L46</f>
        <v/>
      </c>
      <c r="G46" s="28">
        <f>'📥 Stock Data Input'!M46</f>
        <v/>
      </c>
      <c r="H46" s="28">
        <f>'📥 Stock Data Input'!N46</f>
        <v/>
      </c>
      <c r="I46" s="28">
        <f>'📥 Stock Data Input'!O46</f>
        <v/>
      </c>
      <c r="J46" s="42">
        <f>IFERROR(IF('📥 Stock Data Input'!H46="","N/A",IF('📥 Stock Data Input'!N46&gt;'📥 Stock Data Input'!H46/100,"✅ Outperform","❌ Underperform")),"N/A")</f>
        <v/>
      </c>
      <c r="K46" s="42">
        <f>IFERROR(IF('📥 Stock Data Input'!I46="","N/A",IF('📥 Stock Data Input'!N46&gt;'📥 Stock Data Input'!I46/100,"✅ Beat Nifty","❌ Lag Nifty")),"N/A")</f>
        <v/>
      </c>
      <c r="L46" s="42">
        <f>IFERROR(IF('📥 Stock Data Input'!A46="","",IF('📥 Stock Data Input'!K46&lt;5000,"⚠️ Tiny Position",IF('📥 Stock Data Input'!N46&lt;0,"🔴 In Loss",IF(AND('📥 Stock Data Input'!I46&lt;&gt;"",'📥 Stock Data Input'!N46&lt;'📥 Stock Data Input'!I46/100),"🟡 Underperform",IF('📥 Stock Data Input'!N46&gt;0.2,"🟢 Strong","🔵 Hold"))))),"")</f>
        <v/>
      </c>
      <c r="M46" s="43">
        <f>IFERROR(IF('📥 Stock Data Input'!A46="","",IF('📥 Stock Data Input'!K46&lt;5000,"Add qty meaningfully or exit — position too small to matter",IF('📥 Stock Data Input'!N46&lt;-0.2,"Consider exit — loss &gt;20%; re-evaluate thesis",IF(AND('📥 Stock Data Input'!I46&lt;&gt;"",'📥 Stock Data Input'!N46&lt;'📥 Stock Data Input'!I46/100),"Lagging benchmark — review thesis; rotate if 2+ years",IF('📥 Stock Data Input'!N46&gt;0.2,"Strong compounder — hold; consider adding on dips","Hold — monitor quarterly; no immediate action"))))),"")</f>
        <v/>
      </c>
    </row>
    <row r="47" ht="18" customHeight="1" s="59">
      <c r="A47" s="44">
        <f>'📥 Stock Data Input'!A47</f>
        <v/>
      </c>
      <c r="B47" s="44">
        <f>'📥 Stock Data Input'!C47</f>
        <v/>
      </c>
      <c r="C47" s="45">
        <f>'📥 Stock Data Input'!D47</f>
        <v/>
      </c>
      <c r="D47" s="34">
        <f>'📥 Stock Data Input'!J47</f>
        <v/>
      </c>
      <c r="E47" s="34">
        <f>'📥 Stock Data Input'!K47</f>
        <v/>
      </c>
      <c r="F47" s="34">
        <f>'📥 Stock Data Input'!L47</f>
        <v/>
      </c>
      <c r="G47" s="35">
        <f>'📥 Stock Data Input'!M47</f>
        <v/>
      </c>
      <c r="H47" s="35">
        <f>'📥 Stock Data Input'!N47</f>
        <v/>
      </c>
      <c r="I47" s="35">
        <f>'📥 Stock Data Input'!O47</f>
        <v/>
      </c>
      <c r="J47" s="46">
        <f>IFERROR(IF('📥 Stock Data Input'!H47="","N/A",IF('📥 Stock Data Input'!N47&gt;'📥 Stock Data Input'!H47/100,"✅ Outperform","❌ Underperform")),"N/A")</f>
        <v/>
      </c>
      <c r="K47" s="46">
        <f>IFERROR(IF('📥 Stock Data Input'!I47="","N/A",IF('📥 Stock Data Input'!N47&gt;'📥 Stock Data Input'!I47/100,"✅ Beat Nifty","❌ Lag Nifty")),"N/A")</f>
        <v/>
      </c>
      <c r="L47" s="46">
        <f>IFERROR(IF('📥 Stock Data Input'!A47="","",IF('📥 Stock Data Input'!K47&lt;5000,"⚠️ Tiny Position",IF('📥 Stock Data Input'!N47&lt;0,"🔴 In Loss",IF(AND('📥 Stock Data Input'!I47&lt;&gt;"",'📥 Stock Data Input'!N47&lt;'📥 Stock Data Input'!I47/100),"🟡 Underperform",IF('📥 Stock Data Input'!N47&gt;0.2,"🟢 Strong","🔵 Hold"))))),"")</f>
        <v/>
      </c>
      <c r="M47" s="47">
        <f>IFERROR(IF('📥 Stock Data Input'!A47="","",IF('📥 Stock Data Input'!K47&lt;5000,"Add qty meaningfully or exit — position too small to matter",IF('📥 Stock Data Input'!N47&lt;-0.2,"Consider exit — loss &gt;20%; re-evaluate thesis",IF(AND('📥 Stock Data Input'!I47&lt;&gt;"",'📥 Stock Data Input'!N47&lt;'📥 Stock Data Input'!I47/100),"Lagging benchmark — review thesis; rotate if 2+ years",IF('📥 Stock Data Input'!N47&gt;0.2,"Strong compounder — hold; consider adding on dips","Hold — monitor quarterly; no immediate action"))))),"")</f>
        <v/>
      </c>
    </row>
    <row r="48" ht="18" customHeight="1" s="59">
      <c r="A48" s="73">
        <f>'📥 Stock Data Input'!A48</f>
        <v/>
      </c>
      <c r="B48" s="73">
        <f>'📥 Stock Data Input'!C48</f>
        <v/>
      </c>
      <c r="C48" s="41">
        <f>'📥 Stock Data Input'!D48</f>
        <v/>
      </c>
      <c r="D48" s="27">
        <f>'📥 Stock Data Input'!J48</f>
        <v/>
      </c>
      <c r="E48" s="27">
        <f>'📥 Stock Data Input'!K48</f>
        <v/>
      </c>
      <c r="F48" s="27">
        <f>'📥 Stock Data Input'!L48</f>
        <v/>
      </c>
      <c r="G48" s="28">
        <f>'📥 Stock Data Input'!M48</f>
        <v/>
      </c>
      <c r="H48" s="28">
        <f>'📥 Stock Data Input'!N48</f>
        <v/>
      </c>
      <c r="I48" s="28">
        <f>'📥 Stock Data Input'!O48</f>
        <v/>
      </c>
      <c r="J48" s="42">
        <f>IFERROR(IF('📥 Stock Data Input'!H48="","N/A",IF('📥 Stock Data Input'!N48&gt;'📥 Stock Data Input'!H48/100,"✅ Outperform","❌ Underperform")),"N/A")</f>
        <v/>
      </c>
      <c r="K48" s="42">
        <f>IFERROR(IF('📥 Stock Data Input'!I48="","N/A",IF('📥 Stock Data Input'!N48&gt;'📥 Stock Data Input'!I48/100,"✅ Beat Nifty","❌ Lag Nifty")),"N/A")</f>
        <v/>
      </c>
      <c r="L48" s="42">
        <f>IFERROR(IF('📥 Stock Data Input'!A48="","",IF('📥 Stock Data Input'!K48&lt;5000,"⚠️ Tiny Position",IF('📥 Stock Data Input'!N48&lt;0,"🔴 In Loss",IF(AND('📥 Stock Data Input'!I48&lt;&gt;"",'📥 Stock Data Input'!N48&lt;'📥 Stock Data Input'!I48/100),"🟡 Underperform",IF('📥 Stock Data Input'!N48&gt;0.2,"🟢 Strong","🔵 Hold"))))),"")</f>
        <v/>
      </c>
      <c r="M48" s="43">
        <f>IFERROR(IF('📥 Stock Data Input'!A48="","",IF('📥 Stock Data Input'!K48&lt;5000,"Add qty meaningfully or exit — position too small to matter",IF('📥 Stock Data Input'!N48&lt;-0.2,"Consider exit — loss &gt;20%; re-evaluate thesis",IF(AND('📥 Stock Data Input'!I48&lt;&gt;"",'📥 Stock Data Input'!N48&lt;'📥 Stock Data Input'!I48/100),"Lagging benchmark — review thesis; rotate if 2+ years",IF('📥 Stock Data Input'!N48&gt;0.2,"Strong compounder — hold; consider adding on dips","Hold — monitor quarterly; no immediate action"))))),"")</f>
        <v/>
      </c>
    </row>
    <row r="49" ht="18" customHeight="1" s="59">
      <c r="A49" s="44">
        <f>'📥 Stock Data Input'!A49</f>
        <v/>
      </c>
      <c r="B49" s="44">
        <f>'📥 Stock Data Input'!C49</f>
        <v/>
      </c>
      <c r="C49" s="45">
        <f>'📥 Stock Data Input'!D49</f>
        <v/>
      </c>
      <c r="D49" s="34">
        <f>'📥 Stock Data Input'!J49</f>
        <v/>
      </c>
      <c r="E49" s="34">
        <f>'📥 Stock Data Input'!K49</f>
        <v/>
      </c>
      <c r="F49" s="34">
        <f>'📥 Stock Data Input'!L49</f>
        <v/>
      </c>
      <c r="G49" s="35">
        <f>'📥 Stock Data Input'!M49</f>
        <v/>
      </c>
      <c r="H49" s="35">
        <f>'📥 Stock Data Input'!N49</f>
        <v/>
      </c>
      <c r="I49" s="35">
        <f>'📥 Stock Data Input'!O49</f>
        <v/>
      </c>
      <c r="J49" s="46">
        <f>IFERROR(IF('📥 Stock Data Input'!H49="","N/A",IF('📥 Stock Data Input'!N49&gt;'📥 Stock Data Input'!H49/100,"✅ Outperform","❌ Underperform")),"N/A")</f>
        <v/>
      </c>
      <c r="K49" s="46">
        <f>IFERROR(IF('📥 Stock Data Input'!I49="","N/A",IF('📥 Stock Data Input'!N49&gt;'📥 Stock Data Input'!I49/100,"✅ Beat Nifty","❌ Lag Nifty")),"N/A")</f>
        <v/>
      </c>
      <c r="L49" s="46">
        <f>IFERROR(IF('📥 Stock Data Input'!A49="","",IF('📥 Stock Data Input'!K49&lt;5000,"⚠️ Tiny Position",IF('📥 Stock Data Input'!N49&lt;0,"🔴 In Loss",IF(AND('📥 Stock Data Input'!I49&lt;&gt;"",'📥 Stock Data Input'!N49&lt;'📥 Stock Data Input'!I49/100),"🟡 Underperform",IF('📥 Stock Data Input'!N49&gt;0.2,"🟢 Strong","🔵 Hold"))))),"")</f>
        <v/>
      </c>
      <c r="M49" s="47">
        <f>IFERROR(IF('📥 Stock Data Input'!A49="","",IF('📥 Stock Data Input'!K49&lt;5000,"Add qty meaningfully or exit — position too small to matter",IF('📥 Stock Data Input'!N49&lt;-0.2,"Consider exit — loss &gt;20%; re-evaluate thesis",IF(AND('📥 Stock Data Input'!I49&lt;&gt;"",'📥 Stock Data Input'!N49&lt;'📥 Stock Data Input'!I49/100),"Lagging benchmark — review thesis; rotate if 2+ years",IF('📥 Stock Data Input'!N49&gt;0.2,"Strong compounder — hold; consider adding on dips","Hold — monitor quarterly; no immediate action"))))),"")</f>
        <v/>
      </c>
    </row>
    <row r="50" ht="18" customHeight="1" s="59">
      <c r="A50" s="73">
        <f>'📥 Stock Data Input'!A50</f>
        <v/>
      </c>
      <c r="B50" s="73">
        <f>'📥 Stock Data Input'!C50</f>
        <v/>
      </c>
      <c r="C50" s="41">
        <f>'📥 Stock Data Input'!D50</f>
        <v/>
      </c>
      <c r="D50" s="27">
        <f>'📥 Stock Data Input'!J50</f>
        <v/>
      </c>
      <c r="E50" s="27">
        <f>'📥 Stock Data Input'!K50</f>
        <v/>
      </c>
      <c r="F50" s="27">
        <f>'📥 Stock Data Input'!L50</f>
        <v/>
      </c>
      <c r="G50" s="28">
        <f>'📥 Stock Data Input'!M50</f>
        <v/>
      </c>
      <c r="H50" s="28">
        <f>'📥 Stock Data Input'!N50</f>
        <v/>
      </c>
      <c r="I50" s="28">
        <f>'📥 Stock Data Input'!O50</f>
        <v/>
      </c>
      <c r="J50" s="42">
        <f>IFERROR(IF('📥 Stock Data Input'!H50="","N/A",IF('📥 Stock Data Input'!N50&gt;'📥 Stock Data Input'!H50/100,"✅ Outperform","❌ Underperform")),"N/A")</f>
        <v/>
      </c>
      <c r="K50" s="42">
        <f>IFERROR(IF('📥 Stock Data Input'!I50="","N/A",IF('📥 Stock Data Input'!N50&gt;'📥 Stock Data Input'!I50/100,"✅ Beat Nifty","❌ Lag Nifty")),"N/A")</f>
        <v/>
      </c>
      <c r="L50" s="42">
        <f>IFERROR(IF('📥 Stock Data Input'!A50="","",IF('📥 Stock Data Input'!K50&lt;5000,"⚠️ Tiny Position",IF('📥 Stock Data Input'!N50&lt;0,"🔴 In Loss",IF(AND('📥 Stock Data Input'!I50&lt;&gt;"",'📥 Stock Data Input'!N50&lt;'📥 Stock Data Input'!I50/100),"🟡 Underperform",IF('📥 Stock Data Input'!N50&gt;0.2,"🟢 Strong","🔵 Hold"))))),"")</f>
        <v/>
      </c>
      <c r="M50" s="43">
        <f>IFERROR(IF('📥 Stock Data Input'!A50="","",IF('📥 Stock Data Input'!K50&lt;5000,"Add qty meaningfully or exit — position too small to matter",IF('📥 Stock Data Input'!N50&lt;-0.2,"Consider exit — loss &gt;20%; re-evaluate thesis",IF(AND('📥 Stock Data Input'!I50&lt;&gt;"",'📥 Stock Data Input'!N50&lt;'📥 Stock Data Input'!I50/100),"Lagging benchmark — review thesis; rotate if 2+ years",IF('📥 Stock Data Input'!N50&gt;0.2,"Strong compounder — hold; consider adding on dips","Hold — monitor quarterly; no immediate action"))))),"")</f>
        <v/>
      </c>
    </row>
    <row r="51" ht="18" customHeight="1" s="59">
      <c r="A51" s="44">
        <f>'📥 Stock Data Input'!A51</f>
        <v/>
      </c>
      <c r="B51" s="44">
        <f>'📥 Stock Data Input'!C51</f>
        <v/>
      </c>
      <c r="C51" s="45">
        <f>'📥 Stock Data Input'!D51</f>
        <v/>
      </c>
      <c r="D51" s="34">
        <f>'📥 Stock Data Input'!J51</f>
        <v/>
      </c>
      <c r="E51" s="34">
        <f>'📥 Stock Data Input'!K51</f>
        <v/>
      </c>
      <c r="F51" s="34">
        <f>'📥 Stock Data Input'!L51</f>
        <v/>
      </c>
      <c r="G51" s="35">
        <f>'📥 Stock Data Input'!M51</f>
        <v/>
      </c>
      <c r="H51" s="35">
        <f>'📥 Stock Data Input'!N51</f>
        <v/>
      </c>
      <c r="I51" s="35">
        <f>'📥 Stock Data Input'!O51</f>
        <v/>
      </c>
      <c r="J51" s="46">
        <f>IFERROR(IF('📥 Stock Data Input'!H51="","N/A",IF('📥 Stock Data Input'!N51&gt;'📥 Stock Data Input'!H51/100,"✅ Outperform","❌ Underperform")),"N/A")</f>
        <v/>
      </c>
      <c r="K51" s="46">
        <f>IFERROR(IF('📥 Stock Data Input'!I51="","N/A",IF('📥 Stock Data Input'!N51&gt;'📥 Stock Data Input'!I51/100,"✅ Beat Nifty","❌ Lag Nifty")),"N/A")</f>
        <v/>
      </c>
      <c r="L51" s="46">
        <f>IFERROR(IF('📥 Stock Data Input'!A51="","",IF('📥 Stock Data Input'!K51&lt;5000,"⚠️ Tiny Position",IF('📥 Stock Data Input'!N51&lt;0,"🔴 In Loss",IF(AND('📥 Stock Data Input'!I51&lt;&gt;"",'📥 Stock Data Input'!N51&lt;'📥 Stock Data Input'!I51/100),"🟡 Underperform",IF('📥 Stock Data Input'!N51&gt;0.2,"🟢 Strong","🔵 Hold"))))),"")</f>
        <v/>
      </c>
      <c r="M51" s="47">
        <f>IFERROR(IF('📥 Stock Data Input'!A51="","",IF('📥 Stock Data Input'!K51&lt;5000,"Add qty meaningfully or exit — position too small to matter",IF('📥 Stock Data Input'!N51&lt;-0.2,"Consider exit — loss &gt;20%; re-evaluate thesis",IF(AND('📥 Stock Data Input'!I51&lt;&gt;"",'📥 Stock Data Input'!N51&lt;'📥 Stock Data Input'!I51/100),"Lagging benchmark — review thesis; rotate if 2+ years",IF('📥 Stock Data Input'!N51&gt;0.2,"Strong compounder — hold; consider adding on dips","Hold — monitor quarterly; no immediate action"))))),"")</f>
        <v/>
      </c>
    </row>
    <row r="52" ht="18" customHeight="1" s="59">
      <c r="A52" s="73">
        <f>'📥 Stock Data Input'!A52</f>
        <v/>
      </c>
      <c r="B52" s="73">
        <f>'📥 Stock Data Input'!C52</f>
        <v/>
      </c>
      <c r="C52" s="41">
        <f>'📥 Stock Data Input'!D52</f>
        <v/>
      </c>
      <c r="D52" s="27">
        <f>'📥 Stock Data Input'!J52</f>
        <v/>
      </c>
      <c r="E52" s="27">
        <f>'📥 Stock Data Input'!K52</f>
        <v/>
      </c>
      <c r="F52" s="27">
        <f>'📥 Stock Data Input'!L52</f>
        <v/>
      </c>
      <c r="G52" s="28">
        <f>'📥 Stock Data Input'!M52</f>
        <v/>
      </c>
      <c r="H52" s="28">
        <f>'📥 Stock Data Input'!N52</f>
        <v/>
      </c>
      <c r="I52" s="28">
        <f>'📥 Stock Data Input'!O52</f>
        <v/>
      </c>
      <c r="J52" s="42">
        <f>IFERROR(IF('📥 Stock Data Input'!H52="","N/A",IF('📥 Stock Data Input'!N52&gt;'📥 Stock Data Input'!H52/100,"✅ Outperform","❌ Underperform")),"N/A")</f>
        <v/>
      </c>
      <c r="K52" s="42">
        <f>IFERROR(IF('📥 Stock Data Input'!I52="","N/A",IF('📥 Stock Data Input'!N52&gt;'📥 Stock Data Input'!I52/100,"✅ Beat Nifty","❌ Lag Nifty")),"N/A")</f>
        <v/>
      </c>
      <c r="L52" s="42">
        <f>IFERROR(IF('📥 Stock Data Input'!A52="","",IF('📥 Stock Data Input'!K52&lt;5000,"⚠️ Tiny Position",IF('📥 Stock Data Input'!N52&lt;0,"🔴 In Loss",IF(AND('📥 Stock Data Input'!I52&lt;&gt;"",'📥 Stock Data Input'!N52&lt;'📥 Stock Data Input'!I52/100),"🟡 Underperform",IF('📥 Stock Data Input'!N52&gt;0.2,"🟢 Strong","🔵 Hold"))))),"")</f>
        <v/>
      </c>
      <c r="M52" s="43">
        <f>IFERROR(IF('📥 Stock Data Input'!A52="","",IF('📥 Stock Data Input'!K52&lt;5000,"Add qty meaningfully or exit — position too small to matter",IF('📥 Stock Data Input'!N52&lt;-0.2,"Consider exit — loss &gt;20%; re-evaluate thesis",IF(AND('📥 Stock Data Input'!I52&lt;&gt;"",'📥 Stock Data Input'!N52&lt;'📥 Stock Data Input'!I52/100),"Lagging benchmark — review thesis; rotate if 2+ years",IF('📥 Stock Data Input'!N52&gt;0.2,"Strong compounder — hold; consider adding on dips","Hold — monitor quarterly; no immediate action"))))),"")</f>
        <v/>
      </c>
    </row>
    <row r="53" ht="18" customHeight="1" s="59">
      <c r="A53" s="44">
        <f>'📥 Stock Data Input'!A53</f>
        <v/>
      </c>
      <c r="B53" s="44">
        <f>'📥 Stock Data Input'!C53</f>
        <v/>
      </c>
      <c r="C53" s="45">
        <f>'📥 Stock Data Input'!D53</f>
        <v/>
      </c>
      <c r="D53" s="34">
        <f>'📥 Stock Data Input'!J53</f>
        <v/>
      </c>
      <c r="E53" s="34">
        <f>'📥 Stock Data Input'!K53</f>
        <v/>
      </c>
      <c r="F53" s="34">
        <f>'📥 Stock Data Input'!L53</f>
        <v/>
      </c>
      <c r="G53" s="35">
        <f>'📥 Stock Data Input'!M53</f>
        <v/>
      </c>
      <c r="H53" s="35">
        <f>'📥 Stock Data Input'!N53</f>
        <v/>
      </c>
      <c r="I53" s="35">
        <f>'📥 Stock Data Input'!O53</f>
        <v/>
      </c>
      <c r="J53" s="46">
        <f>IFERROR(IF('📥 Stock Data Input'!H53="","N/A",IF('📥 Stock Data Input'!N53&gt;'📥 Stock Data Input'!H53/100,"✅ Outperform","❌ Underperform")),"N/A")</f>
        <v/>
      </c>
      <c r="K53" s="46">
        <f>IFERROR(IF('📥 Stock Data Input'!I53="","N/A",IF('📥 Stock Data Input'!N53&gt;'📥 Stock Data Input'!I53/100,"✅ Beat Nifty","❌ Lag Nifty")),"N/A")</f>
        <v/>
      </c>
      <c r="L53" s="46">
        <f>IFERROR(IF('📥 Stock Data Input'!A53="","",IF('📥 Stock Data Input'!K53&lt;5000,"⚠️ Tiny Position",IF('📥 Stock Data Input'!N53&lt;0,"🔴 In Loss",IF(AND('📥 Stock Data Input'!I53&lt;&gt;"",'📥 Stock Data Input'!N53&lt;'📥 Stock Data Input'!I53/100),"🟡 Underperform",IF('📥 Stock Data Input'!N53&gt;0.2,"🟢 Strong","🔵 Hold"))))),"")</f>
        <v/>
      </c>
      <c r="M53" s="47">
        <f>IFERROR(IF('📥 Stock Data Input'!A53="","",IF('📥 Stock Data Input'!K53&lt;5000,"Add qty meaningfully or exit — position too small to matter",IF('📥 Stock Data Input'!N53&lt;-0.2,"Consider exit — loss &gt;20%; re-evaluate thesis",IF(AND('📥 Stock Data Input'!I53&lt;&gt;"",'📥 Stock Data Input'!N53&lt;'📥 Stock Data Input'!I53/100),"Lagging benchmark — review thesis; rotate if 2+ years",IF('📥 Stock Data Input'!N53&gt;0.2,"Strong compounder — hold; consider adding on dips","Hold — monitor quarterly; no immediate action"))))),"")</f>
        <v/>
      </c>
    </row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M2"/>
    <mergeCell ref="A1:M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375623"/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14.6640625" customWidth="1" style="59" min="4" max="5"/>
    <col width="12.6640625" customWidth="1" style="59" min="6" max="6"/>
    <col width="13.6640625" customWidth="1" style="59" min="7" max="7"/>
    <col width="11.6640625" customWidth="1" style="59" min="8" max="8"/>
    <col width="12.6640625" customWidth="1" style="59" min="9" max="9"/>
    <col width="13.6640625" customWidth="1" style="59" min="10" max="10"/>
    <col width="16.6640625" customWidth="1" style="59" min="11" max="11"/>
    <col width="30.6640625" customWidth="1" style="59" min="12" max="12"/>
    <col width="8.6640625" customWidth="1" style="59" min="13" max="26"/>
  </cols>
  <sheetData>
    <row r="1" ht="30" customHeight="1" s="59">
      <c r="A1" s="67" t="inlineStr">
        <is>
          <t>Mutual Fund Portfolio — Automated Analysis</t>
        </is>
      </c>
    </row>
    <row r="2" ht="30" customHeight="1" s="59">
      <c r="A2" s="68" t="inlineStr">
        <is>
          <t>⚙️ All columns auto-calculated from 📥 MF Data Input. Do NOT edit. Alpha = your CAGR minus benchmark 1Y return.</t>
        </is>
      </c>
    </row>
    <row r="3" ht="27.75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Absolute Return %</t>
        </is>
      </c>
      <c r="H3" s="21" t="inlineStr">
        <is>
          <t>CAGR %</t>
        </is>
      </c>
      <c r="I3" s="21" t="inlineStr">
        <is>
          <t>Portfolio Wt%</t>
        </is>
      </c>
      <c r="J3" s="21" t="inlineStr">
        <is>
          <t>Alpha vs Benchmark</t>
        </is>
      </c>
      <c r="K3" s="21" t="inlineStr">
        <is>
          <t>Signal</t>
        </is>
      </c>
      <c r="L3" s="21" t="inlineStr">
        <is>
          <t>Recommended Action</t>
        </is>
      </c>
    </row>
    <row r="4" ht="18" customHeight="1" s="59">
      <c r="A4" s="73">
        <f>'📥 MF Data Input'!A4</f>
        <v/>
      </c>
      <c r="B4" s="73">
        <f>'📥 MF Data Input'!B4</f>
        <v/>
      </c>
      <c r="C4" s="73">
        <f>'📥 MF Data Input'!C4</f>
        <v/>
      </c>
      <c r="D4" s="27">
        <f>'📥 MF Data Input'!K4</f>
        <v/>
      </c>
      <c r="E4" s="27">
        <f>'📥 MF Data Input'!L4</f>
        <v/>
      </c>
      <c r="F4" s="27">
        <f>'📥 MF Data Input'!M4</f>
        <v/>
      </c>
      <c r="G4" s="28">
        <f>'📥 MF Data Input'!N4</f>
        <v/>
      </c>
      <c r="H4" s="28">
        <f>'📥 MF Data Input'!O4</f>
        <v/>
      </c>
      <c r="I4" s="28">
        <f>'📥 MF Data Input'!P4</f>
        <v/>
      </c>
      <c r="J4" s="28">
        <f>IFERROR(IF('📥 MF Data Input'!I4="","N/A",'📥 MF Data Input'!O4-'📥 MF Data Input'!I4/100),"N/A")</f>
        <v/>
      </c>
      <c r="K4" s="42">
        <f>IFERROR(IF('📥 MF Data Input'!A4="","",IF('📥 MF Data Input'!O4&lt;0,"🔴 Negative Return",IF(AND('📥 MF Data Input'!I4&lt;&gt;"",'📥 MF Data Input'!O4&lt;'📥 MF Data Input'!I4/100),"🟡 Below Benchmark",IF('📥 MF Data Input'!O4&gt;0.15,"🟢 Outperforming","🔵 In Line")))),"")</f>
        <v/>
      </c>
      <c r="L4" s="43">
        <f>IFERROR(IF('📥 MF Data Input'!A4="","",IF('📥 MF Data Input'!O4&lt;0,"Negative returns — review fund; check if macro or fund-specific",IF(AND('📥 MF Data Input'!I4&lt;&gt;"",'📥 MF Data Input'!O4&lt;'📥 MF Data Input'!I4/100),"Lagging benchmark 2+ yrs? Consider switching to index fund",IF('📥 MF Data Input'!O4&gt;0.15,"Strong alpha — hold; consider increasing SIP","Continue SIP; review annually against benchmark")))),"")</f>
        <v/>
      </c>
    </row>
    <row r="5" ht="18" customHeight="1" s="59">
      <c r="A5" s="44">
        <f>'📥 MF Data Input'!A5</f>
        <v/>
      </c>
      <c r="B5" s="44">
        <f>'📥 MF Data Input'!B5</f>
        <v/>
      </c>
      <c r="C5" s="44">
        <f>'📥 MF Data Input'!C5</f>
        <v/>
      </c>
      <c r="D5" s="34">
        <f>'📥 MF Data Input'!K5</f>
        <v/>
      </c>
      <c r="E5" s="34">
        <f>'📥 MF Data Input'!L5</f>
        <v/>
      </c>
      <c r="F5" s="34">
        <f>'📥 MF Data Input'!M5</f>
        <v/>
      </c>
      <c r="G5" s="35">
        <f>'📥 MF Data Input'!N5</f>
        <v/>
      </c>
      <c r="H5" s="35">
        <f>'📥 MF Data Input'!O5</f>
        <v/>
      </c>
      <c r="I5" s="35">
        <f>'📥 MF Data Input'!P5</f>
        <v/>
      </c>
      <c r="J5" s="35">
        <f>IFERROR(IF('📥 MF Data Input'!I5="","N/A",'📥 MF Data Input'!O5-'📥 MF Data Input'!I5/100),"N/A")</f>
        <v/>
      </c>
      <c r="K5" s="46">
        <f>IFERROR(IF('📥 MF Data Input'!A5="","",IF('📥 MF Data Input'!O5&lt;0,"🔴 Negative Return",IF(AND('📥 MF Data Input'!I5&lt;&gt;"",'📥 MF Data Input'!O5&lt;'📥 MF Data Input'!I5/100),"🟡 Below Benchmark",IF('📥 MF Data Input'!O5&gt;0.15,"🟢 Outperforming","🔵 In Line")))),"")</f>
        <v/>
      </c>
      <c r="L5" s="47">
        <f>IFERROR(IF('📥 MF Data Input'!A5="","",IF('📥 MF Data Input'!O5&lt;0,"Negative returns — review fund; check if macro or fund-specific",IF(AND('📥 MF Data Input'!I5&lt;&gt;"",'📥 MF Data Input'!O5&lt;'📥 MF Data Input'!I5/100),"Lagging benchmark 2+ yrs? Consider switching to index fund",IF('📥 MF Data Input'!O5&gt;0.15,"Strong alpha — hold; consider increasing SIP","Continue SIP; review annually against benchmark")))),"")</f>
        <v/>
      </c>
    </row>
    <row r="6" ht="18" customHeight="1" s="59">
      <c r="A6" s="73">
        <f>'📥 MF Data Input'!A6</f>
        <v/>
      </c>
      <c r="B6" s="73">
        <f>'📥 MF Data Input'!B6</f>
        <v/>
      </c>
      <c r="C6" s="73">
        <f>'📥 MF Data Input'!C6</f>
        <v/>
      </c>
      <c r="D6" s="27">
        <f>'📥 MF Data Input'!K6</f>
        <v/>
      </c>
      <c r="E6" s="27">
        <f>'📥 MF Data Input'!L6</f>
        <v/>
      </c>
      <c r="F6" s="27">
        <f>'📥 MF Data Input'!M6</f>
        <v/>
      </c>
      <c r="G6" s="28">
        <f>'📥 MF Data Input'!N6</f>
        <v/>
      </c>
      <c r="H6" s="28">
        <f>'📥 MF Data Input'!O6</f>
        <v/>
      </c>
      <c r="I6" s="28">
        <f>'📥 MF Data Input'!P6</f>
        <v/>
      </c>
      <c r="J6" s="28">
        <f>IFERROR(IF('📥 MF Data Input'!I6="","N/A",'📥 MF Data Input'!O6-'📥 MF Data Input'!I6/100),"N/A")</f>
        <v/>
      </c>
      <c r="K6" s="42">
        <f>IFERROR(IF('📥 MF Data Input'!A6="","",IF('📥 MF Data Input'!O6&lt;0,"🔴 Negative Return",IF(AND('📥 MF Data Input'!I6&lt;&gt;"",'📥 MF Data Input'!O6&lt;'📥 MF Data Input'!I6/100),"🟡 Below Benchmark",IF('📥 MF Data Input'!O6&gt;0.15,"🟢 Outperforming","🔵 In Line")))),"")</f>
        <v/>
      </c>
      <c r="L6" s="43">
        <f>IFERROR(IF('📥 MF Data Input'!A6="","",IF('📥 MF Data Input'!O6&lt;0,"Negative returns — review fund; check if macro or fund-specific",IF(AND('📥 MF Data Input'!I6&lt;&gt;"",'📥 MF Data Input'!O6&lt;'📥 MF Data Input'!I6/100),"Lagging benchmark 2+ yrs? Consider switching to index fund",IF('📥 MF Data Input'!O6&gt;0.15,"Strong alpha — hold; consider increasing SIP","Continue SIP; review annually against benchmark")))),"")</f>
        <v/>
      </c>
    </row>
    <row r="7" ht="18" customHeight="1" s="59">
      <c r="A7" s="44">
        <f>'📥 MF Data Input'!A7</f>
        <v/>
      </c>
      <c r="B7" s="44">
        <f>'📥 MF Data Input'!B7</f>
        <v/>
      </c>
      <c r="C7" s="44">
        <f>'📥 MF Data Input'!C7</f>
        <v/>
      </c>
      <c r="D7" s="34">
        <f>'📥 MF Data Input'!K7</f>
        <v/>
      </c>
      <c r="E7" s="34">
        <f>'📥 MF Data Input'!L7</f>
        <v/>
      </c>
      <c r="F7" s="34">
        <f>'📥 MF Data Input'!M7</f>
        <v/>
      </c>
      <c r="G7" s="35">
        <f>'📥 MF Data Input'!N7</f>
        <v/>
      </c>
      <c r="H7" s="35">
        <f>'📥 MF Data Input'!O7</f>
        <v/>
      </c>
      <c r="I7" s="35">
        <f>'📥 MF Data Input'!P7</f>
        <v/>
      </c>
      <c r="J7" s="35">
        <f>IFERROR(IF('📥 MF Data Input'!I7="","N/A",'📥 MF Data Input'!O7-'📥 MF Data Input'!I7/100),"N/A")</f>
        <v/>
      </c>
      <c r="K7" s="46">
        <f>IFERROR(IF('📥 MF Data Input'!A7="","",IF('📥 MF Data Input'!O7&lt;0,"🔴 Negative Return",IF(AND('📥 MF Data Input'!I7&lt;&gt;"",'📥 MF Data Input'!O7&lt;'📥 MF Data Input'!I7/100),"🟡 Below Benchmark",IF('📥 MF Data Input'!O7&gt;0.15,"🟢 Outperforming","🔵 In Line")))),"")</f>
        <v/>
      </c>
      <c r="L7" s="47">
        <f>IFERROR(IF('📥 MF Data Input'!A7="","",IF('📥 MF Data Input'!O7&lt;0,"Negative returns — review fund; check if macro or fund-specific",IF(AND('📥 MF Data Input'!I7&lt;&gt;"",'📥 MF Data Input'!O7&lt;'📥 MF Data Input'!I7/100),"Lagging benchmark 2+ yrs? Consider switching to index fund",IF('📥 MF Data Input'!O7&gt;0.15,"Strong alpha — hold; consider increasing SIP","Continue SIP; review annually against benchmark")))),"")</f>
        <v/>
      </c>
    </row>
    <row r="8" ht="18" customHeight="1" s="59">
      <c r="A8" s="73">
        <f>'📥 MF Data Input'!A8</f>
        <v/>
      </c>
      <c r="B8" s="73">
        <f>'📥 MF Data Input'!B8</f>
        <v/>
      </c>
      <c r="C8" s="73">
        <f>'📥 MF Data Input'!C8</f>
        <v/>
      </c>
      <c r="D8" s="27">
        <f>'📥 MF Data Input'!K8</f>
        <v/>
      </c>
      <c r="E8" s="27">
        <f>'📥 MF Data Input'!L8</f>
        <v/>
      </c>
      <c r="F8" s="27">
        <f>'📥 MF Data Input'!M8</f>
        <v/>
      </c>
      <c r="G8" s="28">
        <f>'📥 MF Data Input'!N8</f>
        <v/>
      </c>
      <c r="H8" s="28">
        <f>'📥 MF Data Input'!O8</f>
        <v/>
      </c>
      <c r="I8" s="28">
        <f>'📥 MF Data Input'!P8</f>
        <v/>
      </c>
      <c r="J8" s="28">
        <f>IFERROR(IF('📥 MF Data Input'!I8="","N/A",'📥 MF Data Input'!O8-'📥 MF Data Input'!I8/100),"N/A")</f>
        <v/>
      </c>
      <c r="K8" s="42">
        <f>IFERROR(IF('📥 MF Data Input'!A8="","",IF('📥 MF Data Input'!O8&lt;0,"🔴 Negative Return",IF(AND('📥 MF Data Input'!I8&lt;&gt;"",'📥 MF Data Input'!O8&lt;'📥 MF Data Input'!I8/100),"🟡 Below Benchmark",IF('📥 MF Data Input'!O8&gt;0.15,"🟢 Outperforming","🔵 In Line")))),"")</f>
        <v/>
      </c>
      <c r="L8" s="43">
        <f>IFERROR(IF('📥 MF Data Input'!A8="","",IF('📥 MF Data Input'!O8&lt;0,"Negative returns — review fund; check if macro or fund-specific",IF(AND('📥 MF Data Input'!I8&lt;&gt;"",'📥 MF Data Input'!O8&lt;'📥 MF Data Input'!I8/100),"Lagging benchmark 2+ yrs? Consider switching to index fund",IF('📥 MF Data Input'!O8&gt;0.15,"Strong alpha — hold; consider increasing SIP","Continue SIP; review annually against benchmark")))),"")</f>
        <v/>
      </c>
    </row>
    <row r="9" ht="18" customHeight="1" s="59">
      <c r="A9" s="44">
        <f>'📥 MF Data Input'!A9</f>
        <v/>
      </c>
      <c r="B9" s="44">
        <f>'📥 MF Data Input'!B9</f>
        <v/>
      </c>
      <c r="C9" s="44">
        <f>'📥 MF Data Input'!C9</f>
        <v/>
      </c>
      <c r="D9" s="34">
        <f>'📥 MF Data Input'!K9</f>
        <v/>
      </c>
      <c r="E9" s="34">
        <f>'📥 MF Data Input'!L9</f>
        <v/>
      </c>
      <c r="F9" s="34">
        <f>'📥 MF Data Input'!M9</f>
        <v/>
      </c>
      <c r="G9" s="35">
        <f>'📥 MF Data Input'!N9</f>
        <v/>
      </c>
      <c r="H9" s="35">
        <f>'📥 MF Data Input'!O9</f>
        <v/>
      </c>
      <c r="I9" s="35">
        <f>'📥 MF Data Input'!P9</f>
        <v/>
      </c>
      <c r="J9" s="35">
        <f>IFERROR(IF('📥 MF Data Input'!I9="","N/A",'📥 MF Data Input'!O9-'📥 MF Data Input'!I9/100),"N/A")</f>
        <v/>
      </c>
      <c r="K9" s="46">
        <f>IFERROR(IF('📥 MF Data Input'!A9="","",IF('📥 MF Data Input'!O9&lt;0,"🔴 Negative Return",IF(AND('📥 MF Data Input'!I9&lt;&gt;"",'📥 MF Data Input'!O9&lt;'📥 MF Data Input'!I9/100),"🟡 Below Benchmark",IF('📥 MF Data Input'!O9&gt;0.15,"🟢 Outperforming","🔵 In Line")))),"")</f>
        <v/>
      </c>
      <c r="L9" s="47">
        <f>IFERROR(IF('📥 MF Data Input'!A9="","",IF('📥 MF Data Input'!O9&lt;0,"Negative returns — review fund; check if macro or fund-specific",IF(AND('📥 MF Data Input'!I9&lt;&gt;"",'📥 MF Data Input'!O9&lt;'📥 MF Data Input'!I9/100),"Lagging benchmark 2+ yrs? Consider switching to index fund",IF('📥 MF Data Input'!O9&gt;0.15,"Strong alpha — hold; consider increasing SIP","Continue SIP; review annually against benchmark")))),"")</f>
        <v/>
      </c>
    </row>
    <row r="10" ht="18" customHeight="1" s="59">
      <c r="A10" s="73">
        <f>'📥 MF Data Input'!A10</f>
        <v/>
      </c>
      <c r="B10" s="73">
        <f>'📥 MF Data Input'!B10</f>
        <v/>
      </c>
      <c r="C10" s="73">
        <f>'📥 MF Data Input'!C10</f>
        <v/>
      </c>
      <c r="D10" s="27">
        <f>'📥 MF Data Input'!K10</f>
        <v/>
      </c>
      <c r="E10" s="27">
        <f>'📥 MF Data Input'!L10</f>
        <v/>
      </c>
      <c r="F10" s="27">
        <f>'📥 MF Data Input'!M10</f>
        <v/>
      </c>
      <c r="G10" s="28">
        <f>'📥 MF Data Input'!N10</f>
        <v/>
      </c>
      <c r="H10" s="28">
        <f>'📥 MF Data Input'!O10</f>
        <v/>
      </c>
      <c r="I10" s="28">
        <f>'📥 MF Data Input'!P10</f>
        <v/>
      </c>
      <c r="J10" s="28">
        <f>IFERROR(IF('📥 MF Data Input'!I10="","N/A",'📥 MF Data Input'!O10-'📥 MF Data Input'!I10/100),"N/A")</f>
        <v/>
      </c>
      <c r="K10" s="42">
        <f>IFERROR(IF('📥 MF Data Input'!A10="","",IF('📥 MF Data Input'!O10&lt;0,"🔴 Negative Return",IF(AND('📥 MF Data Input'!I10&lt;&gt;"",'📥 MF Data Input'!O10&lt;'📥 MF Data Input'!I10/100),"🟡 Below Benchmark",IF('📥 MF Data Input'!O10&gt;0.15,"🟢 Outperforming","🔵 In Line")))),"")</f>
        <v/>
      </c>
      <c r="L10" s="43">
        <f>IFERROR(IF('📥 MF Data Input'!A10="","",IF('📥 MF Data Input'!O10&lt;0,"Negative returns — review fund; check if macro or fund-specific",IF(AND('📥 MF Data Input'!I10&lt;&gt;"",'📥 MF Data Input'!O10&lt;'📥 MF Data Input'!I10/100),"Lagging benchmark 2+ yrs? Consider switching to index fund",IF('📥 MF Data Input'!O10&gt;0.15,"Strong alpha — hold; consider increasing SIP","Continue SIP; review annually against benchmark")))),"")</f>
        <v/>
      </c>
    </row>
    <row r="11" ht="18" customHeight="1" s="59">
      <c r="A11" s="44">
        <f>'📥 MF Data Input'!A11</f>
        <v/>
      </c>
      <c r="B11" s="44">
        <f>'📥 MF Data Input'!B11</f>
        <v/>
      </c>
      <c r="C11" s="44">
        <f>'📥 MF Data Input'!C11</f>
        <v/>
      </c>
      <c r="D11" s="34">
        <f>'📥 MF Data Input'!K11</f>
        <v/>
      </c>
      <c r="E11" s="34">
        <f>'📥 MF Data Input'!L11</f>
        <v/>
      </c>
      <c r="F11" s="34">
        <f>'📥 MF Data Input'!M11</f>
        <v/>
      </c>
      <c r="G11" s="35">
        <f>'📥 MF Data Input'!N11</f>
        <v/>
      </c>
      <c r="H11" s="35">
        <f>'📥 MF Data Input'!O11</f>
        <v/>
      </c>
      <c r="I11" s="35">
        <f>'📥 MF Data Input'!P11</f>
        <v/>
      </c>
      <c r="J11" s="35">
        <f>IFERROR(IF('📥 MF Data Input'!I11="","N/A",'📥 MF Data Input'!O11-'📥 MF Data Input'!I11/100),"N/A")</f>
        <v/>
      </c>
      <c r="K11" s="46">
        <f>IFERROR(IF('📥 MF Data Input'!A11="","",IF('📥 MF Data Input'!O11&lt;0,"🔴 Negative Return",IF(AND('📥 MF Data Input'!I11&lt;&gt;"",'📥 MF Data Input'!O11&lt;'📥 MF Data Input'!I11/100),"🟡 Below Benchmark",IF('📥 MF Data Input'!O11&gt;0.15,"🟢 Outperforming","🔵 In Line")))),"")</f>
        <v/>
      </c>
      <c r="L11" s="47">
        <f>IFERROR(IF('📥 MF Data Input'!A11="","",IF('📥 MF Data Input'!O11&lt;0,"Negative returns — review fund; check if macro or fund-specific",IF(AND('📥 MF Data Input'!I11&lt;&gt;"",'📥 MF Data Input'!O11&lt;'📥 MF Data Input'!I11/100),"Lagging benchmark 2+ yrs? Consider switching to index fund",IF('📥 MF Data Input'!O11&gt;0.15,"Strong alpha — hold; consider increasing SIP","Continue SIP; review annually against benchmark")))),"")</f>
        <v/>
      </c>
    </row>
    <row r="12" ht="18" customHeight="1" s="59">
      <c r="A12" s="73">
        <f>'📥 MF Data Input'!A12</f>
        <v/>
      </c>
      <c r="B12" s="73">
        <f>'📥 MF Data Input'!B12</f>
        <v/>
      </c>
      <c r="C12" s="73">
        <f>'📥 MF Data Input'!C12</f>
        <v/>
      </c>
      <c r="D12" s="27">
        <f>'📥 MF Data Input'!K12</f>
        <v/>
      </c>
      <c r="E12" s="27">
        <f>'📥 MF Data Input'!L12</f>
        <v/>
      </c>
      <c r="F12" s="27">
        <f>'📥 MF Data Input'!M12</f>
        <v/>
      </c>
      <c r="G12" s="28">
        <f>'📥 MF Data Input'!N12</f>
        <v/>
      </c>
      <c r="H12" s="28">
        <f>'📥 MF Data Input'!O12</f>
        <v/>
      </c>
      <c r="I12" s="28">
        <f>'📥 MF Data Input'!P12</f>
        <v/>
      </c>
      <c r="J12" s="28">
        <f>IFERROR(IF('📥 MF Data Input'!I12="","N/A",'📥 MF Data Input'!O12-'📥 MF Data Input'!I12/100),"N/A")</f>
        <v/>
      </c>
      <c r="K12" s="42">
        <f>IFERROR(IF('📥 MF Data Input'!A12="","",IF('📥 MF Data Input'!O12&lt;0,"🔴 Negative Return",IF(AND('📥 MF Data Input'!I12&lt;&gt;"",'📥 MF Data Input'!O12&lt;'📥 MF Data Input'!I12/100),"🟡 Below Benchmark",IF('📥 MF Data Input'!O12&gt;0.15,"🟢 Outperforming","🔵 In Line")))),"")</f>
        <v/>
      </c>
      <c r="L12" s="43">
        <f>IFERROR(IF('📥 MF Data Input'!A12="","",IF('📥 MF Data Input'!O12&lt;0,"Negative returns — review fund; check if macro or fund-specific",IF(AND('📥 MF Data Input'!I12&lt;&gt;"",'📥 MF Data Input'!O12&lt;'📥 MF Data Input'!I12/100),"Lagging benchmark 2+ yrs? Consider switching to index fund",IF('📥 MF Data Input'!O12&gt;0.15,"Strong alpha — hold; consider increasing SIP","Continue SIP; review annually against benchmark")))),"")</f>
        <v/>
      </c>
    </row>
    <row r="13" ht="18" customHeight="1" s="59">
      <c r="A13" s="44">
        <f>'📥 MF Data Input'!A13</f>
        <v/>
      </c>
      <c r="B13" s="44">
        <f>'📥 MF Data Input'!B13</f>
        <v/>
      </c>
      <c r="C13" s="44">
        <f>'📥 MF Data Input'!C13</f>
        <v/>
      </c>
      <c r="D13" s="34">
        <f>'📥 MF Data Input'!K13</f>
        <v/>
      </c>
      <c r="E13" s="34">
        <f>'📥 MF Data Input'!L13</f>
        <v/>
      </c>
      <c r="F13" s="34">
        <f>'📥 MF Data Input'!M13</f>
        <v/>
      </c>
      <c r="G13" s="35">
        <f>'📥 MF Data Input'!N13</f>
        <v/>
      </c>
      <c r="H13" s="35">
        <f>'📥 MF Data Input'!O13</f>
        <v/>
      </c>
      <c r="I13" s="35">
        <f>'📥 MF Data Input'!P13</f>
        <v/>
      </c>
      <c r="J13" s="35">
        <f>IFERROR(IF('📥 MF Data Input'!I13="","N/A",'📥 MF Data Input'!O13-'📥 MF Data Input'!I13/100),"N/A")</f>
        <v/>
      </c>
      <c r="K13" s="46">
        <f>IFERROR(IF('📥 MF Data Input'!A13="","",IF('📥 MF Data Input'!O13&lt;0,"🔴 Negative Return",IF(AND('📥 MF Data Input'!I13&lt;&gt;"",'📥 MF Data Input'!O13&lt;'📥 MF Data Input'!I13/100),"🟡 Below Benchmark",IF('📥 MF Data Input'!O13&gt;0.15,"🟢 Outperforming","🔵 In Line")))),"")</f>
        <v/>
      </c>
      <c r="L13" s="47">
        <f>IFERROR(IF('📥 MF Data Input'!A13="","",IF('📥 MF Data Input'!O13&lt;0,"Negative returns — review fund; check if macro or fund-specific",IF(AND('📥 MF Data Input'!I13&lt;&gt;"",'📥 MF Data Input'!O13&lt;'📥 MF Data Input'!I13/100),"Lagging benchmark 2+ yrs? Consider switching to index fund",IF('📥 MF Data Input'!O13&gt;0.15,"Strong alpha — hold; consider increasing SIP","Continue SIP; review annually against benchmark")))),"")</f>
        <v/>
      </c>
    </row>
    <row r="14" ht="18" customHeight="1" s="59">
      <c r="A14" s="73">
        <f>'📥 MF Data Input'!A14</f>
        <v/>
      </c>
      <c r="B14" s="73">
        <f>'📥 MF Data Input'!B14</f>
        <v/>
      </c>
      <c r="C14" s="73">
        <f>'📥 MF Data Input'!C14</f>
        <v/>
      </c>
      <c r="D14" s="27">
        <f>'📥 MF Data Input'!K14</f>
        <v/>
      </c>
      <c r="E14" s="27">
        <f>'📥 MF Data Input'!L14</f>
        <v/>
      </c>
      <c r="F14" s="27">
        <f>'📥 MF Data Input'!M14</f>
        <v/>
      </c>
      <c r="G14" s="28">
        <f>'📥 MF Data Input'!N14</f>
        <v/>
      </c>
      <c r="H14" s="28">
        <f>'📥 MF Data Input'!O14</f>
        <v/>
      </c>
      <c r="I14" s="28">
        <f>'📥 MF Data Input'!P14</f>
        <v/>
      </c>
      <c r="J14" s="28">
        <f>IFERROR(IF('📥 MF Data Input'!I14="","N/A",'📥 MF Data Input'!O14-'📥 MF Data Input'!I14/100),"N/A")</f>
        <v/>
      </c>
      <c r="K14" s="42">
        <f>IFERROR(IF('📥 MF Data Input'!A14="","",IF('📥 MF Data Input'!O14&lt;0,"🔴 Negative Return",IF(AND('📥 MF Data Input'!I14&lt;&gt;"",'📥 MF Data Input'!O14&lt;'📥 MF Data Input'!I14/100),"🟡 Below Benchmark",IF('📥 MF Data Input'!O14&gt;0.15,"🟢 Outperforming","🔵 In Line")))),"")</f>
        <v/>
      </c>
      <c r="L14" s="43">
        <f>IFERROR(IF('📥 MF Data Input'!A14="","",IF('📥 MF Data Input'!O14&lt;0,"Negative returns — review fund; check if macro or fund-specific",IF(AND('📥 MF Data Input'!I14&lt;&gt;"",'📥 MF Data Input'!O14&lt;'📥 MF Data Input'!I14/100),"Lagging benchmark 2+ yrs? Consider switching to index fund",IF('📥 MF Data Input'!O14&gt;0.15,"Strong alpha — hold; consider increasing SIP","Continue SIP; review annually against benchmark")))),"")</f>
        <v/>
      </c>
    </row>
    <row r="15" ht="18" customHeight="1" s="59">
      <c r="A15" s="44">
        <f>'📥 MF Data Input'!A15</f>
        <v/>
      </c>
      <c r="B15" s="44">
        <f>'📥 MF Data Input'!B15</f>
        <v/>
      </c>
      <c r="C15" s="44">
        <f>'📥 MF Data Input'!C15</f>
        <v/>
      </c>
      <c r="D15" s="34">
        <f>'📥 MF Data Input'!K15</f>
        <v/>
      </c>
      <c r="E15" s="34">
        <f>'📥 MF Data Input'!L15</f>
        <v/>
      </c>
      <c r="F15" s="34">
        <f>'📥 MF Data Input'!M15</f>
        <v/>
      </c>
      <c r="G15" s="35">
        <f>'📥 MF Data Input'!N15</f>
        <v/>
      </c>
      <c r="H15" s="35">
        <f>'📥 MF Data Input'!O15</f>
        <v/>
      </c>
      <c r="I15" s="35">
        <f>'📥 MF Data Input'!P15</f>
        <v/>
      </c>
      <c r="J15" s="35">
        <f>IFERROR(IF('📥 MF Data Input'!I15="","N/A",'📥 MF Data Input'!O15-'📥 MF Data Input'!I15/100),"N/A")</f>
        <v/>
      </c>
      <c r="K15" s="46">
        <f>IFERROR(IF('📥 MF Data Input'!A15="","",IF('📥 MF Data Input'!O15&lt;0,"🔴 Negative Return",IF(AND('📥 MF Data Input'!I15&lt;&gt;"",'📥 MF Data Input'!O15&lt;'📥 MF Data Input'!I15/100),"🟡 Below Benchmark",IF('📥 MF Data Input'!O15&gt;0.15,"🟢 Outperforming","🔵 In Line")))),"")</f>
        <v/>
      </c>
      <c r="L15" s="47">
        <f>IFERROR(IF('📥 MF Data Input'!A15="","",IF('📥 MF Data Input'!O15&lt;0,"Negative returns — review fund; check if macro or fund-specific",IF(AND('📥 MF Data Input'!I15&lt;&gt;"",'📥 MF Data Input'!O15&lt;'📥 MF Data Input'!I15/100),"Lagging benchmark 2+ yrs? Consider switching to index fund",IF('📥 MF Data Input'!O15&gt;0.15,"Strong alpha — hold; consider increasing SIP","Continue SIP; review annually against benchmark")))),"")</f>
        <v/>
      </c>
    </row>
    <row r="16" ht="18" customHeight="1" s="59">
      <c r="A16" s="73">
        <f>'📥 MF Data Input'!A16</f>
        <v/>
      </c>
      <c r="B16" s="73">
        <f>'📥 MF Data Input'!B16</f>
        <v/>
      </c>
      <c r="C16" s="73">
        <f>'📥 MF Data Input'!C16</f>
        <v/>
      </c>
      <c r="D16" s="27">
        <f>'📥 MF Data Input'!K16</f>
        <v/>
      </c>
      <c r="E16" s="27">
        <f>'📥 MF Data Input'!L16</f>
        <v/>
      </c>
      <c r="F16" s="27">
        <f>'📥 MF Data Input'!M16</f>
        <v/>
      </c>
      <c r="G16" s="28">
        <f>'📥 MF Data Input'!N16</f>
        <v/>
      </c>
      <c r="H16" s="28">
        <f>'📥 MF Data Input'!O16</f>
        <v/>
      </c>
      <c r="I16" s="28">
        <f>'📥 MF Data Input'!P16</f>
        <v/>
      </c>
      <c r="J16" s="28">
        <f>IFERROR(IF('📥 MF Data Input'!I16="","N/A",'📥 MF Data Input'!O16-'📥 MF Data Input'!I16/100),"N/A")</f>
        <v/>
      </c>
      <c r="K16" s="42">
        <f>IFERROR(IF('📥 MF Data Input'!A16="","",IF('📥 MF Data Input'!O16&lt;0,"🔴 Negative Return",IF(AND('📥 MF Data Input'!I16&lt;&gt;"",'📥 MF Data Input'!O16&lt;'📥 MF Data Input'!I16/100),"🟡 Below Benchmark",IF('📥 MF Data Input'!O16&gt;0.15,"🟢 Outperforming","🔵 In Line")))),"")</f>
        <v/>
      </c>
      <c r="L16" s="43">
        <f>IFERROR(IF('📥 MF Data Input'!A16="","",IF('📥 MF Data Input'!O16&lt;0,"Negative returns — review fund; check if macro or fund-specific",IF(AND('📥 MF Data Input'!I16&lt;&gt;"",'📥 MF Data Input'!O16&lt;'📥 MF Data Input'!I16/100),"Lagging benchmark 2+ yrs? Consider switching to index fund",IF('📥 MF Data Input'!O16&gt;0.15,"Strong alpha — hold; consider increasing SIP","Continue SIP; review annually against benchmark")))),"")</f>
        <v/>
      </c>
    </row>
    <row r="17" ht="18" customHeight="1" s="59">
      <c r="A17" s="44">
        <f>'📥 MF Data Input'!A17</f>
        <v/>
      </c>
      <c r="B17" s="44">
        <f>'📥 MF Data Input'!B17</f>
        <v/>
      </c>
      <c r="C17" s="44">
        <f>'📥 MF Data Input'!C17</f>
        <v/>
      </c>
      <c r="D17" s="34">
        <f>'📥 MF Data Input'!K17</f>
        <v/>
      </c>
      <c r="E17" s="34">
        <f>'📥 MF Data Input'!L17</f>
        <v/>
      </c>
      <c r="F17" s="34">
        <f>'📥 MF Data Input'!M17</f>
        <v/>
      </c>
      <c r="G17" s="35">
        <f>'📥 MF Data Input'!N17</f>
        <v/>
      </c>
      <c r="H17" s="35">
        <f>'📥 MF Data Input'!O17</f>
        <v/>
      </c>
      <c r="I17" s="35">
        <f>'📥 MF Data Input'!P17</f>
        <v/>
      </c>
      <c r="J17" s="35">
        <f>IFERROR(IF('📥 MF Data Input'!I17="","N/A",'📥 MF Data Input'!O17-'📥 MF Data Input'!I17/100),"N/A")</f>
        <v/>
      </c>
      <c r="K17" s="46">
        <f>IFERROR(IF('📥 MF Data Input'!A17="","",IF('📥 MF Data Input'!O17&lt;0,"🔴 Negative Return",IF(AND('📥 MF Data Input'!I17&lt;&gt;"",'📥 MF Data Input'!O17&lt;'📥 MF Data Input'!I17/100),"🟡 Below Benchmark",IF('📥 MF Data Input'!O17&gt;0.15,"🟢 Outperforming","🔵 In Line")))),"")</f>
        <v/>
      </c>
      <c r="L17" s="47">
        <f>IFERROR(IF('📥 MF Data Input'!A17="","",IF('📥 MF Data Input'!O17&lt;0,"Negative returns — review fund; check if macro or fund-specific",IF(AND('📥 MF Data Input'!I17&lt;&gt;"",'📥 MF Data Input'!O17&lt;'📥 MF Data Input'!I17/100),"Lagging benchmark 2+ yrs? Consider switching to index fund",IF('📥 MF Data Input'!O17&gt;0.15,"Strong alpha — hold; consider increasing SIP","Continue SIP; review annually against benchmark")))),"")</f>
        <v/>
      </c>
    </row>
    <row r="18" ht="18" customHeight="1" s="59">
      <c r="A18" s="73">
        <f>'📥 MF Data Input'!A18</f>
        <v/>
      </c>
      <c r="B18" s="73">
        <f>'📥 MF Data Input'!B18</f>
        <v/>
      </c>
      <c r="C18" s="73">
        <f>'📥 MF Data Input'!C18</f>
        <v/>
      </c>
      <c r="D18" s="27">
        <f>'📥 MF Data Input'!K18</f>
        <v/>
      </c>
      <c r="E18" s="27">
        <f>'📥 MF Data Input'!L18</f>
        <v/>
      </c>
      <c r="F18" s="27">
        <f>'📥 MF Data Input'!M18</f>
        <v/>
      </c>
      <c r="G18" s="28">
        <f>'📥 MF Data Input'!N18</f>
        <v/>
      </c>
      <c r="H18" s="28">
        <f>'📥 MF Data Input'!O18</f>
        <v/>
      </c>
      <c r="I18" s="28">
        <f>'📥 MF Data Input'!P18</f>
        <v/>
      </c>
      <c r="J18" s="28">
        <f>IFERROR(IF('📥 MF Data Input'!I18="","N/A",'📥 MF Data Input'!O18-'📥 MF Data Input'!I18/100),"N/A")</f>
        <v/>
      </c>
      <c r="K18" s="42">
        <f>IFERROR(IF('📥 MF Data Input'!A18="","",IF('📥 MF Data Input'!O18&lt;0,"🔴 Negative Return",IF(AND('📥 MF Data Input'!I18&lt;&gt;"",'📥 MF Data Input'!O18&lt;'📥 MF Data Input'!I18/100),"🟡 Below Benchmark",IF('📥 MF Data Input'!O18&gt;0.15,"🟢 Outperforming","🔵 In Line")))),"")</f>
        <v/>
      </c>
      <c r="L18" s="43">
        <f>IFERROR(IF('📥 MF Data Input'!A18="","",IF('📥 MF Data Input'!O18&lt;0,"Negative returns — review fund; check if macro or fund-specific",IF(AND('📥 MF Data Input'!I18&lt;&gt;"",'📥 MF Data Input'!O18&lt;'📥 MF Data Input'!I18/100),"Lagging benchmark 2+ yrs? Consider switching to index fund",IF('📥 MF Data Input'!O18&gt;0.15,"Strong alpha — hold; consider increasing SIP","Continue SIP; review annually against benchmark")))),"")</f>
        <v/>
      </c>
    </row>
    <row r="19" ht="18" customHeight="1" s="59">
      <c r="A19" s="44">
        <f>'📥 MF Data Input'!A19</f>
        <v/>
      </c>
      <c r="B19" s="44">
        <f>'📥 MF Data Input'!B19</f>
        <v/>
      </c>
      <c r="C19" s="44">
        <f>'📥 MF Data Input'!C19</f>
        <v/>
      </c>
      <c r="D19" s="34">
        <f>'📥 MF Data Input'!K19</f>
        <v/>
      </c>
      <c r="E19" s="34">
        <f>'📥 MF Data Input'!L19</f>
        <v/>
      </c>
      <c r="F19" s="34">
        <f>'📥 MF Data Input'!M19</f>
        <v/>
      </c>
      <c r="G19" s="35">
        <f>'📥 MF Data Input'!N19</f>
        <v/>
      </c>
      <c r="H19" s="35">
        <f>'📥 MF Data Input'!O19</f>
        <v/>
      </c>
      <c r="I19" s="35">
        <f>'📥 MF Data Input'!P19</f>
        <v/>
      </c>
      <c r="J19" s="35">
        <f>IFERROR(IF('📥 MF Data Input'!I19="","N/A",'📥 MF Data Input'!O19-'📥 MF Data Input'!I19/100),"N/A")</f>
        <v/>
      </c>
      <c r="K19" s="46">
        <f>IFERROR(IF('📥 MF Data Input'!A19="","",IF('📥 MF Data Input'!O19&lt;0,"🔴 Negative Return",IF(AND('📥 MF Data Input'!I19&lt;&gt;"",'📥 MF Data Input'!O19&lt;'📥 MF Data Input'!I19/100),"🟡 Below Benchmark",IF('📥 MF Data Input'!O19&gt;0.15,"🟢 Outperforming","🔵 In Line")))),"")</f>
        <v/>
      </c>
      <c r="L19" s="47">
        <f>IFERROR(IF('📥 MF Data Input'!A19="","",IF('📥 MF Data Input'!O19&lt;0,"Negative returns — review fund; check if macro or fund-specific",IF(AND('📥 MF Data Input'!I19&lt;&gt;"",'📥 MF Data Input'!O19&lt;'📥 MF Data Input'!I19/100),"Lagging benchmark 2+ yrs? Consider switching to index fund",IF('📥 MF Data Input'!O19&gt;0.15,"Strong alpha — hold; consider increasing SIP","Continue SIP; review annually against benchmark")))),"")</f>
        <v/>
      </c>
    </row>
    <row r="20" ht="18" customHeight="1" s="59">
      <c r="A20" s="73">
        <f>'📥 MF Data Input'!A20</f>
        <v/>
      </c>
      <c r="B20" s="73">
        <f>'📥 MF Data Input'!B20</f>
        <v/>
      </c>
      <c r="C20" s="73">
        <f>'📥 MF Data Input'!C20</f>
        <v/>
      </c>
      <c r="D20" s="27">
        <f>'📥 MF Data Input'!K20</f>
        <v/>
      </c>
      <c r="E20" s="27">
        <f>'📥 MF Data Input'!L20</f>
        <v/>
      </c>
      <c r="F20" s="27">
        <f>'📥 MF Data Input'!M20</f>
        <v/>
      </c>
      <c r="G20" s="28">
        <f>'📥 MF Data Input'!N20</f>
        <v/>
      </c>
      <c r="H20" s="28">
        <f>'📥 MF Data Input'!O20</f>
        <v/>
      </c>
      <c r="I20" s="28">
        <f>'📥 MF Data Input'!P20</f>
        <v/>
      </c>
      <c r="J20" s="28">
        <f>IFERROR(IF('📥 MF Data Input'!I20="","N/A",'📥 MF Data Input'!O20-'📥 MF Data Input'!I20/100),"N/A")</f>
        <v/>
      </c>
      <c r="K20" s="42">
        <f>IFERROR(IF('📥 MF Data Input'!A20="","",IF('📥 MF Data Input'!O20&lt;0,"🔴 Negative Return",IF(AND('📥 MF Data Input'!I20&lt;&gt;"",'📥 MF Data Input'!O20&lt;'📥 MF Data Input'!I20/100),"🟡 Below Benchmark",IF('📥 MF Data Input'!O20&gt;0.15,"🟢 Outperforming","🔵 In Line")))),"")</f>
        <v/>
      </c>
      <c r="L20" s="43">
        <f>IFERROR(IF('📥 MF Data Input'!A20="","",IF('📥 MF Data Input'!O20&lt;0,"Negative returns — review fund; check if macro or fund-specific",IF(AND('📥 MF Data Input'!I20&lt;&gt;"",'📥 MF Data Input'!O20&lt;'📥 MF Data Input'!I20/100),"Lagging benchmark 2+ yrs? Consider switching to index fund",IF('📥 MF Data Input'!O20&gt;0.15,"Strong alpha — hold; consider increasing SIP","Continue SIP; review annually against benchmark")))),"")</f>
        <v/>
      </c>
    </row>
    <row r="21" ht="18" customHeight="1" s="59">
      <c r="A21" s="44">
        <f>'📥 MF Data Input'!A21</f>
        <v/>
      </c>
      <c r="B21" s="44">
        <f>'📥 MF Data Input'!B21</f>
        <v/>
      </c>
      <c r="C21" s="44">
        <f>'📥 MF Data Input'!C21</f>
        <v/>
      </c>
      <c r="D21" s="34">
        <f>'📥 MF Data Input'!K21</f>
        <v/>
      </c>
      <c r="E21" s="34">
        <f>'📥 MF Data Input'!L21</f>
        <v/>
      </c>
      <c r="F21" s="34">
        <f>'📥 MF Data Input'!M21</f>
        <v/>
      </c>
      <c r="G21" s="35">
        <f>'📥 MF Data Input'!N21</f>
        <v/>
      </c>
      <c r="H21" s="35">
        <f>'📥 MF Data Input'!O21</f>
        <v/>
      </c>
      <c r="I21" s="35">
        <f>'📥 MF Data Input'!P21</f>
        <v/>
      </c>
      <c r="J21" s="35">
        <f>IFERROR(IF('📥 MF Data Input'!I21="","N/A",'📥 MF Data Input'!O21-'📥 MF Data Input'!I21/100),"N/A")</f>
        <v/>
      </c>
      <c r="K21" s="46">
        <f>IFERROR(IF('📥 MF Data Input'!A21="","",IF('📥 MF Data Input'!O21&lt;0,"🔴 Negative Return",IF(AND('📥 MF Data Input'!I21&lt;&gt;"",'📥 MF Data Input'!O21&lt;'📥 MF Data Input'!I21/100),"🟡 Below Benchmark",IF('📥 MF Data Input'!O21&gt;0.15,"🟢 Outperforming","🔵 In Line")))),"")</f>
        <v/>
      </c>
      <c r="L21" s="47">
        <f>IFERROR(IF('📥 MF Data Input'!A21="","",IF('📥 MF Data Input'!O21&lt;0,"Negative returns — review fund; check if macro or fund-specific",IF(AND('📥 MF Data Input'!I21&lt;&gt;"",'📥 MF Data Input'!O21&lt;'📥 MF Data Input'!I21/100),"Lagging benchmark 2+ yrs? Consider switching to index fund",IF('📥 MF Data Input'!O21&gt;0.15,"Strong alpha — hold; consider increasing SIP","Continue SIP; review annually against benchmark")))),"")</f>
        <v/>
      </c>
    </row>
    <row r="22" ht="18" customHeight="1" s="59">
      <c r="A22" s="73">
        <f>'📥 MF Data Input'!A22</f>
        <v/>
      </c>
      <c r="B22" s="73">
        <f>'📥 MF Data Input'!B22</f>
        <v/>
      </c>
      <c r="C22" s="73">
        <f>'📥 MF Data Input'!C22</f>
        <v/>
      </c>
      <c r="D22" s="27">
        <f>'📥 MF Data Input'!K22</f>
        <v/>
      </c>
      <c r="E22" s="27">
        <f>'📥 MF Data Input'!L22</f>
        <v/>
      </c>
      <c r="F22" s="27">
        <f>'📥 MF Data Input'!M22</f>
        <v/>
      </c>
      <c r="G22" s="28">
        <f>'📥 MF Data Input'!N22</f>
        <v/>
      </c>
      <c r="H22" s="28">
        <f>'📥 MF Data Input'!O22</f>
        <v/>
      </c>
      <c r="I22" s="28">
        <f>'📥 MF Data Input'!P22</f>
        <v/>
      </c>
      <c r="J22" s="28">
        <f>IFERROR(IF('📥 MF Data Input'!I22="","N/A",'📥 MF Data Input'!O22-'📥 MF Data Input'!I22/100),"N/A")</f>
        <v/>
      </c>
      <c r="K22" s="42">
        <f>IFERROR(IF('📥 MF Data Input'!A22="","",IF('📥 MF Data Input'!O22&lt;0,"🔴 Negative Return",IF(AND('📥 MF Data Input'!I22&lt;&gt;"",'📥 MF Data Input'!O22&lt;'📥 MF Data Input'!I22/100),"🟡 Below Benchmark",IF('📥 MF Data Input'!O22&gt;0.15,"🟢 Outperforming","🔵 In Line")))),"")</f>
        <v/>
      </c>
      <c r="L22" s="43">
        <f>IFERROR(IF('📥 MF Data Input'!A22="","",IF('📥 MF Data Input'!O22&lt;0,"Negative returns — review fund; check if macro or fund-specific",IF(AND('📥 MF Data Input'!I22&lt;&gt;"",'📥 MF Data Input'!O22&lt;'📥 MF Data Input'!I22/100),"Lagging benchmark 2+ yrs? Consider switching to index fund",IF('📥 MF Data Input'!O22&gt;0.15,"Strong alpha — hold; consider increasing SIP","Continue SIP; review annually against benchmark")))),"")</f>
        <v/>
      </c>
    </row>
    <row r="23" ht="18" customHeight="1" s="59">
      <c r="A23" s="44">
        <f>'📥 MF Data Input'!A23</f>
        <v/>
      </c>
      <c r="B23" s="44">
        <f>'📥 MF Data Input'!B23</f>
        <v/>
      </c>
      <c r="C23" s="44">
        <f>'📥 MF Data Input'!C23</f>
        <v/>
      </c>
      <c r="D23" s="34">
        <f>'📥 MF Data Input'!K23</f>
        <v/>
      </c>
      <c r="E23" s="34">
        <f>'📥 MF Data Input'!L23</f>
        <v/>
      </c>
      <c r="F23" s="34">
        <f>'📥 MF Data Input'!M23</f>
        <v/>
      </c>
      <c r="G23" s="35">
        <f>'📥 MF Data Input'!N23</f>
        <v/>
      </c>
      <c r="H23" s="35">
        <f>'📥 MF Data Input'!O23</f>
        <v/>
      </c>
      <c r="I23" s="35">
        <f>'📥 MF Data Input'!P23</f>
        <v/>
      </c>
      <c r="J23" s="35">
        <f>IFERROR(IF('📥 MF Data Input'!I23="","N/A",'📥 MF Data Input'!O23-'📥 MF Data Input'!I23/100),"N/A")</f>
        <v/>
      </c>
      <c r="K23" s="46">
        <f>IFERROR(IF('📥 MF Data Input'!A23="","",IF('📥 MF Data Input'!O23&lt;0,"🔴 Negative Return",IF(AND('📥 MF Data Input'!I23&lt;&gt;"",'📥 MF Data Input'!O23&lt;'📥 MF Data Input'!I23/100),"🟡 Below Benchmark",IF('📥 MF Data Input'!O23&gt;0.15,"🟢 Outperforming","🔵 In Line")))),"")</f>
        <v/>
      </c>
      <c r="L23" s="47">
        <f>IFERROR(IF('📥 MF Data Input'!A23="","",IF('📥 MF Data Input'!O23&lt;0,"Negative returns — review fund; check if macro or fund-specific",IF(AND('📥 MF Data Input'!I23&lt;&gt;"",'📥 MF Data Input'!O23&lt;'📥 MF Data Input'!I23/100),"Lagging benchmark 2+ yrs? Consider switching to index fund",IF('📥 MF Data Input'!O23&gt;0.15,"Strong alpha — hold; consider increasing SIP","Continue SIP; review annually against benchmark")))),"")</f>
        <v/>
      </c>
    </row>
    <row r="24" ht="18" customHeight="1" s="59">
      <c r="A24" s="73">
        <f>'📥 MF Data Input'!A24</f>
        <v/>
      </c>
      <c r="B24" s="73">
        <f>'📥 MF Data Input'!B24</f>
        <v/>
      </c>
      <c r="C24" s="73">
        <f>'📥 MF Data Input'!C24</f>
        <v/>
      </c>
      <c r="D24" s="27">
        <f>'📥 MF Data Input'!K24</f>
        <v/>
      </c>
      <c r="E24" s="27">
        <f>'📥 MF Data Input'!L24</f>
        <v/>
      </c>
      <c r="F24" s="27">
        <f>'📥 MF Data Input'!M24</f>
        <v/>
      </c>
      <c r="G24" s="28">
        <f>'📥 MF Data Input'!N24</f>
        <v/>
      </c>
      <c r="H24" s="28">
        <f>'📥 MF Data Input'!O24</f>
        <v/>
      </c>
      <c r="I24" s="28">
        <f>'📥 MF Data Input'!P24</f>
        <v/>
      </c>
      <c r="J24" s="28">
        <f>IFERROR(IF('📥 MF Data Input'!I24="","N/A",'📥 MF Data Input'!O24-'📥 MF Data Input'!I24/100),"N/A")</f>
        <v/>
      </c>
      <c r="K24" s="42">
        <f>IFERROR(IF('📥 MF Data Input'!A24="","",IF('📥 MF Data Input'!O24&lt;0,"🔴 Negative Return",IF(AND('📥 MF Data Input'!I24&lt;&gt;"",'📥 MF Data Input'!O24&lt;'📥 MF Data Input'!I24/100),"🟡 Below Benchmark",IF('📥 MF Data Input'!O24&gt;0.15,"🟢 Outperforming","🔵 In Line")))),"")</f>
        <v/>
      </c>
      <c r="L24" s="43">
        <f>IFERROR(IF('📥 MF Data Input'!A24="","",IF('📥 MF Data Input'!O24&lt;0,"Negative returns — review fund; check if macro or fund-specific",IF(AND('📥 MF Data Input'!I24&lt;&gt;"",'📥 MF Data Input'!O24&lt;'📥 MF Data Input'!I24/100),"Lagging benchmark 2+ yrs? Consider switching to index fund",IF('📥 MF Data Input'!O24&gt;0.15,"Strong alpha — hold; consider increasing SIP","Continue SIP; review annually against benchmark")))),"")</f>
        <v/>
      </c>
    </row>
    <row r="25" ht="18" customHeight="1" s="59">
      <c r="A25" s="44">
        <f>'📥 MF Data Input'!A25</f>
        <v/>
      </c>
      <c r="B25" s="44">
        <f>'📥 MF Data Input'!B25</f>
        <v/>
      </c>
      <c r="C25" s="44">
        <f>'📥 MF Data Input'!C25</f>
        <v/>
      </c>
      <c r="D25" s="34">
        <f>'📥 MF Data Input'!K25</f>
        <v/>
      </c>
      <c r="E25" s="34">
        <f>'📥 MF Data Input'!L25</f>
        <v/>
      </c>
      <c r="F25" s="34">
        <f>'📥 MF Data Input'!M25</f>
        <v/>
      </c>
      <c r="G25" s="35">
        <f>'📥 MF Data Input'!N25</f>
        <v/>
      </c>
      <c r="H25" s="35">
        <f>'📥 MF Data Input'!O25</f>
        <v/>
      </c>
      <c r="I25" s="35">
        <f>'📥 MF Data Input'!P25</f>
        <v/>
      </c>
      <c r="J25" s="35">
        <f>IFERROR(IF('📥 MF Data Input'!I25="","N/A",'📥 MF Data Input'!O25-'📥 MF Data Input'!I25/100),"N/A")</f>
        <v/>
      </c>
      <c r="K25" s="46">
        <f>IFERROR(IF('📥 MF Data Input'!A25="","",IF('📥 MF Data Input'!O25&lt;0,"🔴 Negative Return",IF(AND('📥 MF Data Input'!I25&lt;&gt;"",'📥 MF Data Input'!O25&lt;'📥 MF Data Input'!I25/100),"🟡 Below Benchmark",IF('📥 MF Data Input'!O25&gt;0.15,"🟢 Outperforming","🔵 In Line")))),"")</f>
        <v/>
      </c>
      <c r="L25" s="47">
        <f>IFERROR(IF('📥 MF Data Input'!A25="","",IF('📥 MF Data Input'!O25&lt;0,"Negative returns — review fund; check if macro or fund-specific",IF(AND('📥 MF Data Input'!I25&lt;&gt;"",'📥 MF Data Input'!O25&lt;'📥 MF Data Input'!I25/100),"Lagging benchmark 2+ yrs? Consider switching to index fund",IF('📥 MF Data Input'!O25&gt;0.15,"Strong alpha — hold; consider increasing SIP","Continue SIP; review annually against benchmark")))),"")</f>
        <v/>
      </c>
    </row>
    <row r="26" ht="18" customHeight="1" s="59">
      <c r="A26" s="73">
        <f>'📥 MF Data Input'!A26</f>
        <v/>
      </c>
      <c r="B26" s="73">
        <f>'📥 MF Data Input'!B26</f>
        <v/>
      </c>
      <c r="C26" s="73">
        <f>'📥 MF Data Input'!C26</f>
        <v/>
      </c>
      <c r="D26" s="27">
        <f>'📥 MF Data Input'!K26</f>
        <v/>
      </c>
      <c r="E26" s="27">
        <f>'📥 MF Data Input'!L26</f>
        <v/>
      </c>
      <c r="F26" s="27">
        <f>'📥 MF Data Input'!M26</f>
        <v/>
      </c>
      <c r="G26" s="28">
        <f>'📥 MF Data Input'!N26</f>
        <v/>
      </c>
      <c r="H26" s="28">
        <f>'📥 MF Data Input'!O26</f>
        <v/>
      </c>
      <c r="I26" s="28">
        <f>'📥 MF Data Input'!P26</f>
        <v/>
      </c>
      <c r="J26" s="28">
        <f>IFERROR(IF('📥 MF Data Input'!I26="","N/A",'📥 MF Data Input'!O26-'📥 MF Data Input'!I26/100),"N/A")</f>
        <v/>
      </c>
      <c r="K26" s="42">
        <f>IFERROR(IF('📥 MF Data Input'!A26="","",IF('📥 MF Data Input'!O26&lt;0,"🔴 Negative Return",IF(AND('📥 MF Data Input'!I26&lt;&gt;"",'📥 MF Data Input'!O26&lt;'📥 MF Data Input'!I26/100),"🟡 Below Benchmark",IF('📥 MF Data Input'!O26&gt;0.15,"🟢 Outperforming","🔵 In Line")))),"")</f>
        <v/>
      </c>
      <c r="L26" s="43">
        <f>IFERROR(IF('📥 MF Data Input'!A26="","",IF('📥 MF Data Input'!O26&lt;0,"Negative returns — review fund; check if macro or fund-specific",IF(AND('📥 MF Data Input'!I26&lt;&gt;"",'📥 MF Data Input'!O26&lt;'📥 MF Data Input'!I26/100),"Lagging benchmark 2+ yrs? Consider switching to index fund",IF('📥 MF Data Input'!O26&gt;0.15,"Strong alpha — hold; consider increasing SIP","Continue SIP; review annually against benchmark")))),"")</f>
        <v/>
      </c>
    </row>
    <row r="27" ht="18" customHeight="1" s="59">
      <c r="A27" s="44">
        <f>'📥 MF Data Input'!A27</f>
        <v/>
      </c>
      <c r="B27" s="44">
        <f>'📥 MF Data Input'!B27</f>
        <v/>
      </c>
      <c r="C27" s="44">
        <f>'📥 MF Data Input'!C27</f>
        <v/>
      </c>
      <c r="D27" s="34">
        <f>'📥 MF Data Input'!K27</f>
        <v/>
      </c>
      <c r="E27" s="34">
        <f>'📥 MF Data Input'!L27</f>
        <v/>
      </c>
      <c r="F27" s="34">
        <f>'📥 MF Data Input'!M27</f>
        <v/>
      </c>
      <c r="G27" s="35">
        <f>'📥 MF Data Input'!N27</f>
        <v/>
      </c>
      <c r="H27" s="35">
        <f>'📥 MF Data Input'!O27</f>
        <v/>
      </c>
      <c r="I27" s="35">
        <f>'📥 MF Data Input'!P27</f>
        <v/>
      </c>
      <c r="J27" s="35">
        <f>IFERROR(IF('📥 MF Data Input'!I27="","N/A",'📥 MF Data Input'!O27-'📥 MF Data Input'!I27/100),"N/A")</f>
        <v/>
      </c>
      <c r="K27" s="46">
        <f>IFERROR(IF('📥 MF Data Input'!A27="","",IF('📥 MF Data Input'!O27&lt;0,"🔴 Negative Return",IF(AND('📥 MF Data Input'!I27&lt;&gt;"",'📥 MF Data Input'!O27&lt;'📥 MF Data Input'!I27/100),"🟡 Below Benchmark",IF('📥 MF Data Input'!O27&gt;0.15,"🟢 Outperforming","🔵 In Line")))),"")</f>
        <v/>
      </c>
      <c r="L27" s="47">
        <f>IFERROR(IF('📥 MF Data Input'!A27="","",IF('📥 MF Data Input'!O27&lt;0,"Negative returns — review fund; check if macro or fund-specific",IF(AND('📥 MF Data Input'!I27&lt;&gt;"",'📥 MF Data Input'!O27&lt;'📥 MF Data Input'!I27/100),"Lagging benchmark 2+ yrs? Consider switching to index fund",IF('📥 MF Data Input'!O27&gt;0.15,"Strong alpha — hold; consider increasing SIP","Continue SIP; review annually against benchmark")))),"")</f>
        <v/>
      </c>
    </row>
    <row r="28" ht="18" customHeight="1" s="59">
      <c r="A28" s="73">
        <f>'📥 MF Data Input'!A28</f>
        <v/>
      </c>
      <c r="B28" s="73">
        <f>'📥 MF Data Input'!B28</f>
        <v/>
      </c>
      <c r="C28" s="73">
        <f>'📥 MF Data Input'!C28</f>
        <v/>
      </c>
      <c r="D28" s="27">
        <f>'📥 MF Data Input'!K28</f>
        <v/>
      </c>
      <c r="E28" s="27">
        <f>'📥 MF Data Input'!L28</f>
        <v/>
      </c>
      <c r="F28" s="27">
        <f>'📥 MF Data Input'!M28</f>
        <v/>
      </c>
      <c r="G28" s="28">
        <f>'📥 MF Data Input'!N28</f>
        <v/>
      </c>
      <c r="H28" s="28">
        <f>'📥 MF Data Input'!O28</f>
        <v/>
      </c>
      <c r="I28" s="28">
        <f>'📥 MF Data Input'!P28</f>
        <v/>
      </c>
      <c r="J28" s="28">
        <f>IFERROR(IF('📥 MF Data Input'!I28="","N/A",'📥 MF Data Input'!O28-'📥 MF Data Input'!I28/100),"N/A")</f>
        <v/>
      </c>
      <c r="K28" s="42">
        <f>IFERROR(IF('📥 MF Data Input'!A28="","",IF('📥 MF Data Input'!O28&lt;0,"🔴 Negative Return",IF(AND('📥 MF Data Input'!I28&lt;&gt;"",'📥 MF Data Input'!O28&lt;'📥 MF Data Input'!I28/100),"🟡 Below Benchmark",IF('📥 MF Data Input'!O28&gt;0.15,"🟢 Outperforming","🔵 In Line")))),"")</f>
        <v/>
      </c>
      <c r="L28" s="43">
        <f>IFERROR(IF('📥 MF Data Input'!A28="","",IF('📥 MF Data Input'!O28&lt;0,"Negative returns — review fund; check if macro or fund-specific",IF(AND('📥 MF Data Input'!I28&lt;&gt;"",'📥 MF Data Input'!O28&lt;'📥 MF Data Input'!I28/100),"Lagging benchmark 2+ yrs? Consider switching to index fund",IF('📥 MF Data Input'!O28&gt;0.15,"Strong alpha — hold; consider increasing SIP","Continue SIP; review annually against benchmark")))),"")</f>
        <v/>
      </c>
    </row>
    <row r="29" ht="18" customHeight="1" s="59">
      <c r="A29" s="44">
        <f>'📥 MF Data Input'!A29</f>
        <v/>
      </c>
      <c r="B29" s="44">
        <f>'📥 MF Data Input'!B29</f>
        <v/>
      </c>
      <c r="C29" s="44">
        <f>'📥 MF Data Input'!C29</f>
        <v/>
      </c>
      <c r="D29" s="34">
        <f>'📥 MF Data Input'!K29</f>
        <v/>
      </c>
      <c r="E29" s="34">
        <f>'📥 MF Data Input'!L29</f>
        <v/>
      </c>
      <c r="F29" s="34">
        <f>'📥 MF Data Input'!M29</f>
        <v/>
      </c>
      <c r="G29" s="35">
        <f>'📥 MF Data Input'!N29</f>
        <v/>
      </c>
      <c r="H29" s="35">
        <f>'📥 MF Data Input'!O29</f>
        <v/>
      </c>
      <c r="I29" s="35">
        <f>'📥 MF Data Input'!P29</f>
        <v/>
      </c>
      <c r="J29" s="35">
        <f>IFERROR(IF('📥 MF Data Input'!I29="","N/A",'📥 MF Data Input'!O29-'📥 MF Data Input'!I29/100),"N/A")</f>
        <v/>
      </c>
      <c r="K29" s="46">
        <f>IFERROR(IF('📥 MF Data Input'!A29="","",IF('📥 MF Data Input'!O29&lt;0,"🔴 Negative Return",IF(AND('📥 MF Data Input'!I29&lt;&gt;"",'📥 MF Data Input'!O29&lt;'📥 MF Data Input'!I29/100),"🟡 Below Benchmark",IF('📥 MF Data Input'!O29&gt;0.15,"🟢 Outperforming","🔵 In Line")))),"")</f>
        <v/>
      </c>
      <c r="L29" s="47">
        <f>IFERROR(IF('📥 MF Data Input'!A29="","",IF('📥 MF Data Input'!O29&lt;0,"Negative returns — review fund; check if macro or fund-specific",IF(AND('📥 MF Data Input'!I29&lt;&gt;"",'📥 MF Data Input'!O29&lt;'📥 MF Data Input'!I29/100),"Lagging benchmark 2+ yrs? Consider switching to index fund",IF('📥 MF Data Input'!O29&gt;0.15,"Strong alpha — hold; consider increasing SIP","Continue SIP; review annually against benchmark")))),"")</f>
        <v/>
      </c>
    </row>
    <row r="30" ht="18" customHeight="1" s="59">
      <c r="A30" s="73">
        <f>'📥 MF Data Input'!A30</f>
        <v/>
      </c>
      <c r="B30" s="73">
        <f>'📥 MF Data Input'!B30</f>
        <v/>
      </c>
      <c r="C30" s="73">
        <f>'📥 MF Data Input'!C30</f>
        <v/>
      </c>
      <c r="D30" s="27">
        <f>'📥 MF Data Input'!K30</f>
        <v/>
      </c>
      <c r="E30" s="27">
        <f>'📥 MF Data Input'!L30</f>
        <v/>
      </c>
      <c r="F30" s="27">
        <f>'📥 MF Data Input'!M30</f>
        <v/>
      </c>
      <c r="G30" s="28">
        <f>'📥 MF Data Input'!N30</f>
        <v/>
      </c>
      <c r="H30" s="28">
        <f>'📥 MF Data Input'!O30</f>
        <v/>
      </c>
      <c r="I30" s="28">
        <f>'📥 MF Data Input'!P30</f>
        <v/>
      </c>
      <c r="J30" s="28">
        <f>IFERROR(IF('📥 MF Data Input'!I30="","N/A",'📥 MF Data Input'!O30-'📥 MF Data Input'!I30/100),"N/A")</f>
        <v/>
      </c>
      <c r="K30" s="42">
        <f>IFERROR(IF('📥 MF Data Input'!A30="","",IF('📥 MF Data Input'!O30&lt;0,"🔴 Negative Return",IF(AND('📥 MF Data Input'!I30&lt;&gt;"",'📥 MF Data Input'!O30&lt;'📥 MF Data Input'!I30/100),"🟡 Below Benchmark",IF('📥 MF Data Input'!O30&gt;0.15,"🟢 Outperforming","🔵 In Line")))),"")</f>
        <v/>
      </c>
      <c r="L30" s="43">
        <f>IFERROR(IF('📥 MF Data Input'!A30="","",IF('📥 MF Data Input'!O30&lt;0,"Negative returns — review fund; check if macro or fund-specific",IF(AND('📥 MF Data Input'!I30&lt;&gt;"",'📥 MF Data Input'!O30&lt;'📥 MF Data Input'!I30/100),"Lagging benchmark 2+ yrs? Consider switching to index fund",IF('📥 MF Data Input'!O30&gt;0.15,"Strong alpha — hold; consider increasing SIP","Continue SIP; review annually against benchmark")))),"")</f>
        <v/>
      </c>
    </row>
    <row r="31" ht="18" customHeight="1" s="59">
      <c r="A31" s="44">
        <f>'📥 MF Data Input'!A31</f>
        <v/>
      </c>
      <c r="B31" s="44">
        <f>'📥 MF Data Input'!B31</f>
        <v/>
      </c>
      <c r="C31" s="44">
        <f>'📥 MF Data Input'!C31</f>
        <v/>
      </c>
      <c r="D31" s="34">
        <f>'📥 MF Data Input'!K31</f>
        <v/>
      </c>
      <c r="E31" s="34">
        <f>'📥 MF Data Input'!L31</f>
        <v/>
      </c>
      <c r="F31" s="34">
        <f>'📥 MF Data Input'!M31</f>
        <v/>
      </c>
      <c r="G31" s="35">
        <f>'📥 MF Data Input'!N31</f>
        <v/>
      </c>
      <c r="H31" s="35">
        <f>'📥 MF Data Input'!O31</f>
        <v/>
      </c>
      <c r="I31" s="35">
        <f>'📥 MF Data Input'!P31</f>
        <v/>
      </c>
      <c r="J31" s="35">
        <f>IFERROR(IF('📥 MF Data Input'!I31="","N/A",'📥 MF Data Input'!O31-'📥 MF Data Input'!I31/100),"N/A")</f>
        <v/>
      </c>
      <c r="K31" s="46">
        <f>IFERROR(IF('📥 MF Data Input'!A31="","",IF('📥 MF Data Input'!O31&lt;0,"🔴 Negative Return",IF(AND('📥 MF Data Input'!I31&lt;&gt;"",'📥 MF Data Input'!O31&lt;'📥 MF Data Input'!I31/100),"🟡 Below Benchmark",IF('📥 MF Data Input'!O31&gt;0.15,"🟢 Outperforming","🔵 In Line")))),"")</f>
        <v/>
      </c>
      <c r="L31" s="47">
        <f>IFERROR(IF('📥 MF Data Input'!A31="","",IF('📥 MF Data Input'!O31&lt;0,"Negative returns — review fund; check if macro or fund-specific",IF(AND('📥 MF Data Input'!I31&lt;&gt;"",'📥 MF Data Input'!O31&lt;'📥 MF Data Input'!I31/100),"Lagging benchmark 2+ yrs? Consider switching to index fund",IF('📥 MF Data Input'!O31&gt;0.15,"Strong alpha — hold; consider increasing SIP","Continue SIP; review annually against benchmark")))),"")</f>
        <v/>
      </c>
    </row>
    <row r="32" ht="18" customHeight="1" s="59">
      <c r="A32" s="73">
        <f>'📥 MF Data Input'!A32</f>
        <v/>
      </c>
      <c r="B32" s="73">
        <f>'📥 MF Data Input'!B32</f>
        <v/>
      </c>
      <c r="C32" s="73">
        <f>'📥 MF Data Input'!C32</f>
        <v/>
      </c>
      <c r="D32" s="27">
        <f>'📥 MF Data Input'!K32</f>
        <v/>
      </c>
      <c r="E32" s="27">
        <f>'📥 MF Data Input'!L32</f>
        <v/>
      </c>
      <c r="F32" s="27">
        <f>'📥 MF Data Input'!M32</f>
        <v/>
      </c>
      <c r="G32" s="28">
        <f>'📥 MF Data Input'!N32</f>
        <v/>
      </c>
      <c r="H32" s="28">
        <f>'📥 MF Data Input'!O32</f>
        <v/>
      </c>
      <c r="I32" s="28">
        <f>'📥 MF Data Input'!P32</f>
        <v/>
      </c>
      <c r="J32" s="28">
        <f>IFERROR(IF('📥 MF Data Input'!I32="","N/A",'📥 MF Data Input'!O32-'📥 MF Data Input'!I32/100),"N/A")</f>
        <v/>
      </c>
      <c r="K32" s="42">
        <f>IFERROR(IF('📥 MF Data Input'!A32="","",IF('📥 MF Data Input'!O32&lt;0,"🔴 Negative Return",IF(AND('📥 MF Data Input'!I32&lt;&gt;"",'📥 MF Data Input'!O32&lt;'📥 MF Data Input'!I32/100),"🟡 Below Benchmark",IF('📥 MF Data Input'!O32&gt;0.15,"🟢 Outperforming","🔵 In Line")))),"")</f>
        <v/>
      </c>
      <c r="L32" s="43">
        <f>IFERROR(IF('📥 MF Data Input'!A32="","",IF('📥 MF Data Input'!O32&lt;0,"Negative returns — review fund; check if macro or fund-specific",IF(AND('📥 MF Data Input'!I32&lt;&gt;"",'📥 MF Data Input'!O32&lt;'📥 MF Data Input'!I32/100),"Lagging benchmark 2+ yrs? Consider switching to index fund",IF('📥 MF Data Input'!O32&gt;0.15,"Strong alpha — hold; consider increasing SIP","Continue SIP; review annually against benchmark")))),"")</f>
        <v/>
      </c>
    </row>
    <row r="33" ht="18" customHeight="1" s="59">
      <c r="A33" s="44">
        <f>'📥 MF Data Input'!A33</f>
        <v/>
      </c>
      <c r="B33" s="44">
        <f>'📥 MF Data Input'!B33</f>
        <v/>
      </c>
      <c r="C33" s="44">
        <f>'📥 MF Data Input'!C33</f>
        <v/>
      </c>
      <c r="D33" s="34">
        <f>'📥 MF Data Input'!K33</f>
        <v/>
      </c>
      <c r="E33" s="34">
        <f>'📥 MF Data Input'!L33</f>
        <v/>
      </c>
      <c r="F33" s="34">
        <f>'📥 MF Data Input'!M33</f>
        <v/>
      </c>
      <c r="G33" s="35">
        <f>'📥 MF Data Input'!N33</f>
        <v/>
      </c>
      <c r="H33" s="35">
        <f>'📥 MF Data Input'!O33</f>
        <v/>
      </c>
      <c r="I33" s="35">
        <f>'📥 MF Data Input'!P33</f>
        <v/>
      </c>
      <c r="J33" s="35">
        <f>IFERROR(IF('📥 MF Data Input'!I33="","N/A",'📥 MF Data Input'!O33-'📥 MF Data Input'!I33/100),"N/A")</f>
        <v/>
      </c>
      <c r="K33" s="46">
        <f>IFERROR(IF('📥 MF Data Input'!A33="","",IF('📥 MF Data Input'!O33&lt;0,"🔴 Negative Return",IF(AND('📥 MF Data Input'!I33&lt;&gt;"",'📥 MF Data Input'!O33&lt;'📥 MF Data Input'!I33/100),"🟡 Below Benchmark",IF('📥 MF Data Input'!O33&gt;0.15,"🟢 Outperforming","🔵 In Line")))),"")</f>
        <v/>
      </c>
      <c r="L33" s="47">
        <f>IFERROR(IF('📥 MF Data Input'!A33="","",IF('📥 MF Data Input'!O33&lt;0,"Negative returns — review fund; check if macro or fund-specific",IF(AND('📥 MF Data Input'!I33&lt;&gt;"",'📥 MF Data Input'!O33&lt;'📥 MF Data Input'!I33/100),"Lagging benchmark 2+ yrs? Consider switching to index fund",IF('📥 MF Data Input'!O33&gt;0.15,"Strong alpha — hold; consider increasing SIP","Continue SIP; review annually against benchmark")))),"")</f>
        <v/>
      </c>
    </row>
    <row r="34" ht="18" customHeight="1" s="59">
      <c r="A34" s="73">
        <f>'📥 MF Data Input'!A34</f>
        <v/>
      </c>
      <c r="B34" s="73">
        <f>'📥 MF Data Input'!B34</f>
        <v/>
      </c>
      <c r="C34" s="73">
        <f>'📥 MF Data Input'!C34</f>
        <v/>
      </c>
      <c r="D34" s="27">
        <f>'📥 MF Data Input'!K34</f>
        <v/>
      </c>
      <c r="E34" s="27">
        <f>'📥 MF Data Input'!L34</f>
        <v/>
      </c>
      <c r="F34" s="27">
        <f>'📥 MF Data Input'!M34</f>
        <v/>
      </c>
      <c r="G34" s="28">
        <f>'📥 MF Data Input'!N34</f>
        <v/>
      </c>
      <c r="H34" s="28">
        <f>'📥 MF Data Input'!O34</f>
        <v/>
      </c>
      <c r="I34" s="28">
        <f>'📥 MF Data Input'!P34</f>
        <v/>
      </c>
      <c r="J34" s="28">
        <f>IFERROR(IF('📥 MF Data Input'!I34="","N/A",'📥 MF Data Input'!O34-'📥 MF Data Input'!I34/100),"N/A")</f>
        <v/>
      </c>
      <c r="K34" s="42">
        <f>IFERROR(IF('📥 MF Data Input'!A34="","",IF('📥 MF Data Input'!O34&lt;0,"🔴 Negative Return",IF(AND('📥 MF Data Input'!I34&lt;&gt;"",'📥 MF Data Input'!O34&lt;'📥 MF Data Input'!I34/100),"🟡 Below Benchmark",IF('📥 MF Data Input'!O34&gt;0.15,"🟢 Outperforming","🔵 In Line")))),"")</f>
        <v/>
      </c>
      <c r="L34" s="43">
        <f>IFERROR(IF('📥 MF Data Input'!A34="","",IF('📥 MF Data Input'!O34&lt;0,"Negative returns — review fund; check if macro or fund-specific",IF(AND('📥 MF Data Input'!I34&lt;&gt;"",'📥 MF Data Input'!O34&lt;'📥 MF Data Input'!I34/100),"Lagging benchmark 2+ yrs? Consider switching to index fund",IF('📥 MF Data Input'!O34&gt;0.15,"Strong alpha — hold; consider increasing SIP","Continue SIP; review annually against benchmark")))),"")</f>
        <v/>
      </c>
    </row>
    <row r="35" ht="18" customHeight="1" s="59">
      <c r="A35" s="44">
        <f>'📥 MF Data Input'!A35</f>
        <v/>
      </c>
      <c r="B35" s="44">
        <f>'📥 MF Data Input'!B35</f>
        <v/>
      </c>
      <c r="C35" s="44">
        <f>'📥 MF Data Input'!C35</f>
        <v/>
      </c>
      <c r="D35" s="34">
        <f>'📥 MF Data Input'!K35</f>
        <v/>
      </c>
      <c r="E35" s="34">
        <f>'📥 MF Data Input'!L35</f>
        <v/>
      </c>
      <c r="F35" s="34">
        <f>'📥 MF Data Input'!M35</f>
        <v/>
      </c>
      <c r="G35" s="35">
        <f>'📥 MF Data Input'!N35</f>
        <v/>
      </c>
      <c r="H35" s="35">
        <f>'📥 MF Data Input'!O35</f>
        <v/>
      </c>
      <c r="I35" s="35">
        <f>'📥 MF Data Input'!P35</f>
        <v/>
      </c>
      <c r="J35" s="35">
        <f>IFERROR(IF('📥 MF Data Input'!I35="","N/A",'📥 MF Data Input'!O35-'📥 MF Data Input'!I35/100),"N/A")</f>
        <v/>
      </c>
      <c r="K35" s="46">
        <f>IFERROR(IF('📥 MF Data Input'!A35="","",IF('📥 MF Data Input'!O35&lt;0,"🔴 Negative Return",IF(AND('📥 MF Data Input'!I35&lt;&gt;"",'📥 MF Data Input'!O35&lt;'📥 MF Data Input'!I35/100),"🟡 Below Benchmark",IF('📥 MF Data Input'!O35&gt;0.15,"🟢 Outperforming","🔵 In Line")))),"")</f>
        <v/>
      </c>
      <c r="L35" s="47">
        <f>IFERROR(IF('📥 MF Data Input'!A35="","",IF('📥 MF Data Input'!O35&lt;0,"Negative returns — review fund; check if macro or fund-specific",IF(AND('📥 MF Data Input'!I35&lt;&gt;"",'📥 MF Data Input'!O35&lt;'📥 MF Data Input'!I35/100),"Lagging benchmark 2+ yrs? Consider switching to index fund",IF('📥 MF Data Input'!O35&gt;0.15,"Strong alpha — hold; consider increasing SIP","Continue SIP; review annually against benchmark")))),"")</f>
        <v/>
      </c>
    </row>
    <row r="36" ht="18" customHeight="1" s="59">
      <c r="A36" s="73">
        <f>'📥 MF Data Input'!A36</f>
        <v/>
      </c>
      <c r="B36" s="73">
        <f>'📥 MF Data Input'!B36</f>
        <v/>
      </c>
      <c r="C36" s="73">
        <f>'📥 MF Data Input'!C36</f>
        <v/>
      </c>
      <c r="D36" s="27">
        <f>'📥 MF Data Input'!K36</f>
        <v/>
      </c>
      <c r="E36" s="27">
        <f>'📥 MF Data Input'!L36</f>
        <v/>
      </c>
      <c r="F36" s="27">
        <f>'📥 MF Data Input'!M36</f>
        <v/>
      </c>
      <c r="G36" s="28">
        <f>'📥 MF Data Input'!N36</f>
        <v/>
      </c>
      <c r="H36" s="28">
        <f>'📥 MF Data Input'!O36</f>
        <v/>
      </c>
      <c r="I36" s="28">
        <f>'📥 MF Data Input'!P36</f>
        <v/>
      </c>
      <c r="J36" s="28">
        <f>IFERROR(IF('📥 MF Data Input'!I36="","N/A",'📥 MF Data Input'!O36-'📥 MF Data Input'!I36/100),"N/A")</f>
        <v/>
      </c>
      <c r="K36" s="42">
        <f>IFERROR(IF('📥 MF Data Input'!A36="","",IF('📥 MF Data Input'!O36&lt;0,"🔴 Negative Return",IF(AND('📥 MF Data Input'!I36&lt;&gt;"",'📥 MF Data Input'!O36&lt;'📥 MF Data Input'!I36/100),"🟡 Below Benchmark",IF('📥 MF Data Input'!O36&gt;0.15,"🟢 Outperforming","🔵 In Line")))),"")</f>
        <v/>
      </c>
      <c r="L36" s="43">
        <f>IFERROR(IF('📥 MF Data Input'!A36="","",IF('📥 MF Data Input'!O36&lt;0,"Negative returns — review fund; check if macro or fund-specific",IF(AND('📥 MF Data Input'!I36&lt;&gt;"",'📥 MF Data Input'!O36&lt;'📥 MF Data Input'!I36/100),"Lagging benchmark 2+ yrs? Consider switching to index fund",IF('📥 MF Data Input'!O36&gt;0.15,"Strong alpha — hold; consider increasing SIP","Continue SIP; review annually against benchmark")))),"")</f>
        <v/>
      </c>
    </row>
    <row r="37" ht="18" customHeight="1" s="59">
      <c r="A37" s="44">
        <f>'📥 MF Data Input'!A37</f>
        <v/>
      </c>
      <c r="B37" s="44">
        <f>'📥 MF Data Input'!B37</f>
        <v/>
      </c>
      <c r="C37" s="44">
        <f>'📥 MF Data Input'!C37</f>
        <v/>
      </c>
      <c r="D37" s="34">
        <f>'📥 MF Data Input'!K37</f>
        <v/>
      </c>
      <c r="E37" s="34">
        <f>'📥 MF Data Input'!L37</f>
        <v/>
      </c>
      <c r="F37" s="34">
        <f>'📥 MF Data Input'!M37</f>
        <v/>
      </c>
      <c r="G37" s="35">
        <f>'📥 MF Data Input'!N37</f>
        <v/>
      </c>
      <c r="H37" s="35">
        <f>'📥 MF Data Input'!O37</f>
        <v/>
      </c>
      <c r="I37" s="35">
        <f>'📥 MF Data Input'!P37</f>
        <v/>
      </c>
      <c r="J37" s="35">
        <f>IFERROR(IF('📥 MF Data Input'!I37="","N/A",'📥 MF Data Input'!O37-'📥 MF Data Input'!I37/100),"N/A")</f>
        <v/>
      </c>
      <c r="K37" s="46">
        <f>IFERROR(IF('📥 MF Data Input'!A37="","",IF('📥 MF Data Input'!O37&lt;0,"🔴 Negative Return",IF(AND('📥 MF Data Input'!I37&lt;&gt;"",'📥 MF Data Input'!O37&lt;'📥 MF Data Input'!I37/100),"🟡 Below Benchmark",IF('📥 MF Data Input'!O37&gt;0.15,"🟢 Outperforming","🔵 In Line")))),"")</f>
        <v/>
      </c>
      <c r="L37" s="47">
        <f>IFERROR(IF('📥 MF Data Input'!A37="","",IF('📥 MF Data Input'!O37&lt;0,"Negative returns — review fund; check if macro or fund-specific",IF(AND('📥 MF Data Input'!I37&lt;&gt;"",'📥 MF Data Input'!O37&lt;'📥 MF Data Input'!I37/100),"Lagging benchmark 2+ yrs? Consider switching to index fund",IF('📥 MF Data Input'!O37&gt;0.15,"Strong alpha — hold; consider increasing SIP","Continue SIP; review annually against benchmark")))),"")</f>
        <v/>
      </c>
    </row>
    <row r="38" ht="18" customHeight="1" s="59">
      <c r="A38" s="73">
        <f>'📥 MF Data Input'!A38</f>
        <v/>
      </c>
      <c r="B38" s="73">
        <f>'📥 MF Data Input'!B38</f>
        <v/>
      </c>
      <c r="C38" s="73">
        <f>'📥 MF Data Input'!C38</f>
        <v/>
      </c>
      <c r="D38" s="27">
        <f>'📥 MF Data Input'!K38</f>
        <v/>
      </c>
      <c r="E38" s="27">
        <f>'📥 MF Data Input'!L38</f>
        <v/>
      </c>
      <c r="F38" s="27">
        <f>'📥 MF Data Input'!M38</f>
        <v/>
      </c>
      <c r="G38" s="28">
        <f>'📥 MF Data Input'!N38</f>
        <v/>
      </c>
      <c r="H38" s="28">
        <f>'📥 MF Data Input'!O38</f>
        <v/>
      </c>
      <c r="I38" s="28">
        <f>'📥 MF Data Input'!P38</f>
        <v/>
      </c>
      <c r="J38" s="28">
        <f>IFERROR(IF('📥 MF Data Input'!I38="","N/A",'📥 MF Data Input'!O38-'📥 MF Data Input'!I38/100),"N/A")</f>
        <v/>
      </c>
      <c r="K38" s="42">
        <f>IFERROR(IF('📥 MF Data Input'!A38="","",IF('📥 MF Data Input'!O38&lt;0,"🔴 Negative Return",IF(AND('📥 MF Data Input'!I38&lt;&gt;"",'📥 MF Data Input'!O38&lt;'📥 MF Data Input'!I38/100),"🟡 Below Benchmark",IF('📥 MF Data Input'!O38&gt;0.15,"🟢 Outperforming","🔵 In Line")))),"")</f>
        <v/>
      </c>
      <c r="L38" s="43">
        <f>IFERROR(IF('📥 MF Data Input'!A38="","",IF('📥 MF Data Input'!O38&lt;0,"Negative returns — review fund; check if macro or fund-specific",IF(AND('📥 MF Data Input'!I38&lt;&gt;"",'📥 MF Data Input'!O38&lt;'📥 MF Data Input'!I38/100),"Lagging benchmark 2+ yrs? Consider switching to index fund",IF('📥 MF Data Input'!O38&gt;0.15,"Strong alpha — hold; consider increasing SIP","Continue SIP; review annually against benchmark")))),"")</f>
        <v/>
      </c>
    </row>
    <row r="39" ht="18" customHeight="1" s="59">
      <c r="A39" s="44">
        <f>'📥 MF Data Input'!A39</f>
        <v/>
      </c>
      <c r="B39" s="44">
        <f>'📥 MF Data Input'!B39</f>
        <v/>
      </c>
      <c r="C39" s="44">
        <f>'📥 MF Data Input'!C39</f>
        <v/>
      </c>
      <c r="D39" s="34">
        <f>'📥 MF Data Input'!K39</f>
        <v/>
      </c>
      <c r="E39" s="34">
        <f>'📥 MF Data Input'!L39</f>
        <v/>
      </c>
      <c r="F39" s="34">
        <f>'📥 MF Data Input'!M39</f>
        <v/>
      </c>
      <c r="G39" s="35">
        <f>'📥 MF Data Input'!N39</f>
        <v/>
      </c>
      <c r="H39" s="35">
        <f>'📥 MF Data Input'!O39</f>
        <v/>
      </c>
      <c r="I39" s="35">
        <f>'📥 MF Data Input'!P39</f>
        <v/>
      </c>
      <c r="J39" s="35">
        <f>IFERROR(IF('📥 MF Data Input'!I39="","N/A",'📥 MF Data Input'!O39-'📥 MF Data Input'!I39/100),"N/A")</f>
        <v/>
      </c>
      <c r="K39" s="46">
        <f>IFERROR(IF('📥 MF Data Input'!A39="","",IF('📥 MF Data Input'!O39&lt;0,"🔴 Negative Return",IF(AND('📥 MF Data Input'!I39&lt;&gt;"",'📥 MF Data Input'!O39&lt;'📥 MF Data Input'!I39/100),"🟡 Below Benchmark",IF('📥 MF Data Input'!O39&gt;0.15,"🟢 Outperforming","🔵 In Line")))),"")</f>
        <v/>
      </c>
      <c r="L39" s="47">
        <f>IFERROR(IF('📥 MF Data Input'!A39="","",IF('📥 MF Data Input'!O39&lt;0,"Negative returns — review fund; check if macro or fund-specific",IF(AND('📥 MF Data Input'!I39&lt;&gt;"",'📥 MF Data Input'!O39&lt;'📥 MF Data Input'!I39/100),"Lagging benchmark 2+ yrs? Consider switching to index fund",IF('📥 MF Data Input'!O39&gt;0.15,"Strong alpha — hold; consider increasing SIP","Continue SIP; review annually against benchmark")))),"")</f>
        <v/>
      </c>
    </row>
    <row r="40" ht="18" customHeight="1" s="59">
      <c r="A40" s="73">
        <f>'📥 MF Data Input'!A40</f>
        <v/>
      </c>
      <c r="B40" s="73">
        <f>'📥 MF Data Input'!B40</f>
        <v/>
      </c>
      <c r="C40" s="73">
        <f>'📥 MF Data Input'!C40</f>
        <v/>
      </c>
      <c r="D40" s="27">
        <f>'📥 MF Data Input'!K40</f>
        <v/>
      </c>
      <c r="E40" s="27">
        <f>'📥 MF Data Input'!L40</f>
        <v/>
      </c>
      <c r="F40" s="27">
        <f>'📥 MF Data Input'!M40</f>
        <v/>
      </c>
      <c r="G40" s="28">
        <f>'📥 MF Data Input'!N40</f>
        <v/>
      </c>
      <c r="H40" s="28">
        <f>'📥 MF Data Input'!O40</f>
        <v/>
      </c>
      <c r="I40" s="28">
        <f>'📥 MF Data Input'!P40</f>
        <v/>
      </c>
      <c r="J40" s="28">
        <f>IFERROR(IF('📥 MF Data Input'!I40="","N/A",'📥 MF Data Input'!O40-'📥 MF Data Input'!I40/100),"N/A")</f>
        <v/>
      </c>
      <c r="K40" s="42">
        <f>IFERROR(IF('📥 MF Data Input'!A40="","",IF('📥 MF Data Input'!O40&lt;0,"🔴 Negative Return",IF(AND('📥 MF Data Input'!I40&lt;&gt;"",'📥 MF Data Input'!O40&lt;'📥 MF Data Input'!I40/100),"🟡 Below Benchmark",IF('📥 MF Data Input'!O40&gt;0.15,"🟢 Outperforming","🔵 In Line")))),"")</f>
        <v/>
      </c>
      <c r="L40" s="43">
        <f>IFERROR(IF('📥 MF Data Input'!A40="","",IF('📥 MF Data Input'!O40&lt;0,"Negative returns — review fund; check if macro or fund-specific",IF(AND('📥 MF Data Input'!I40&lt;&gt;"",'📥 MF Data Input'!O40&lt;'📥 MF Data Input'!I40/100),"Lagging benchmark 2+ yrs? Consider switching to index fund",IF('📥 MF Data Input'!O40&gt;0.15,"Strong alpha — hold; consider increasing SIP","Continue SIP; review annually against benchmark")))),"")</f>
        <v/>
      </c>
    </row>
    <row r="41" ht="18" customHeight="1" s="59">
      <c r="A41" s="44">
        <f>'📥 MF Data Input'!A41</f>
        <v/>
      </c>
      <c r="B41" s="44">
        <f>'📥 MF Data Input'!B41</f>
        <v/>
      </c>
      <c r="C41" s="44">
        <f>'📥 MF Data Input'!C41</f>
        <v/>
      </c>
      <c r="D41" s="34">
        <f>'📥 MF Data Input'!K41</f>
        <v/>
      </c>
      <c r="E41" s="34">
        <f>'📥 MF Data Input'!L41</f>
        <v/>
      </c>
      <c r="F41" s="34">
        <f>'📥 MF Data Input'!M41</f>
        <v/>
      </c>
      <c r="G41" s="35">
        <f>'📥 MF Data Input'!N41</f>
        <v/>
      </c>
      <c r="H41" s="35">
        <f>'📥 MF Data Input'!O41</f>
        <v/>
      </c>
      <c r="I41" s="35">
        <f>'📥 MF Data Input'!P41</f>
        <v/>
      </c>
      <c r="J41" s="35">
        <f>IFERROR(IF('📥 MF Data Input'!I41="","N/A",'📥 MF Data Input'!O41-'📥 MF Data Input'!I41/100),"N/A")</f>
        <v/>
      </c>
      <c r="K41" s="46">
        <f>IFERROR(IF('📥 MF Data Input'!A41="","",IF('📥 MF Data Input'!O41&lt;0,"🔴 Negative Return",IF(AND('📥 MF Data Input'!I41&lt;&gt;"",'📥 MF Data Input'!O41&lt;'📥 MF Data Input'!I41/100),"🟡 Below Benchmark",IF('📥 MF Data Input'!O41&gt;0.15,"🟢 Outperforming","🔵 In Line")))),"")</f>
        <v/>
      </c>
      <c r="L41" s="47">
        <f>IFERROR(IF('📥 MF Data Input'!A41="","",IF('📥 MF Data Input'!O41&lt;0,"Negative returns — review fund; check if macro or fund-specific",IF(AND('📥 MF Data Input'!I41&lt;&gt;"",'📥 MF Data Input'!O41&lt;'📥 MF Data Input'!I41/100),"Lagging benchmark 2+ yrs? Consider switching to index fund",IF('📥 MF Data Input'!O41&gt;0.15,"Strong alpha — hold; consider increasing SIP","Continue SIP; review annually against benchmark")))),"")</f>
        <v/>
      </c>
    </row>
    <row r="42" ht="18" customHeight="1" s="59">
      <c r="A42" s="73">
        <f>'📥 MF Data Input'!A42</f>
        <v/>
      </c>
      <c r="B42" s="73">
        <f>'📥 MF Data Input'!B42</f>
        <v/>
      </c>
      <c r="C42" s="73">
        <f>'📥 MF Data Input'!C42</f>
        <v/>
      </c>
      <c r="D42" s="27">
        <f>'📥 MF Data Input'!K42</f>
        <v/>
      </c>
      <c r="E42" s="27">
        <f>'📥 MF Data Input'!L42</f>
        <v/>
      </c>
      <c r="F42" s="27">
        <f>'📥 MF Data Input'!M42</f>
        <v/>
      </c>
      <c r="G42" s="28">
        <f>'📥 MF Data Input'!N42</f>
        <v/>
      </c>
      <c r="H42" s="28">
        <f>'📥 MF Data Input'!O42</f>
        <v/>
      </c>
      <c r="I42" s="28">
        <f>'📥 MF Data Input'!P42</f>
        <v/>
      </c>
      <c r="J42" s="28">
        <f>IFERROR(IF('📥 MF Data Input'!I42="","N/A",'📥 MF Data Input'!O42-'📥 MF Data Input'!I42/100),"N/A")</f>
        <v/>
      </c>
      <c r="K42" s="42">
        <f>IFERROR(IF('📥 MF Data Input'!A42="","",IF('📥 MF Data Input'!O42&lt;0,"🔴 Negative Return",IF(AND('📥 MF Data Input'!I42&lt;&gt;"",'📥 MF Data Input'!O42&lt;'📥 MF Data Input'!I42/100),"🟡 Below Benchmark",IF('📥 MF Data Input'!O42&gt;0.15,"🟢 Outperforming","🔵 In Line")))),"")</f>
        <v/>
      </c>
      <c r="L42" s="43">
        <f>IFERROR(IF('📥 MF Data Input'!A42="","",IF('📥 MF Data Input'!O42&lt;0,"Negative returns — review fund; check if macro or fund-specific",IF(AND('📥 MF Data Input'!I42&lt;&gt;"",'📥 MF Data Input'!O42&lt;'📥 MF Data Input'!I42/100),"Lagging benchmark 2+ yrs? Consider switching to index fund",IF('📥 MF Data Input'!O42&gt;0.15,"Strong alpha — hold; consider increasing SIP","Continue SIP; review annually against benchmark")))),"")</f>
        <v/>
      </c>
    </row>
    <row r="43" ht="18" customHeight="1" s="59">
      <c r="A43" s="44">
        <f>'📥 MF Data Input'!A43</f>
        <v/>
      </c>
      <c r="B43" s="44">
        <f>'📥 MF Data Input'!B43</f>
        <v/>
      </c>
      <c r="C43" s="44">
        <f>'📥 MF Data Input'!C43</f>
        <v/>
      </c>
      <c r="D43" s="34">
        <f>'📥 MF Data Input'!K43</f>
        <v/>
      </c>
      <c r="E43" s="34">
        <f>'📥 MF Data Input'!L43</f>
        <v/>
      </c>
      <c r="F43" s="34">
        <f>'📥 MF Data Input'!M43</f>
        <v/>
      </c>
      <c r="G43" s="35">
        <f>'📥 MF Data Input'!N43</f>
        <v/>
      </c>
      <c r="H43" s="35">
        <f>'📥 MF Data Input'!O43</f>
        <v/>
      </c>
      <c r="I43" s="35">
        <f>'📥 MF Data Input'!P43</f>
        <v/>
      </c>
      <c r="J43" s="35">
        <f>IFERROR(IF('📥 MF Data Input'!I43="","N/A",'📥 MF Data Input'!O43-'📥 MF Data Input'!I43/100),"N/A")</f>
        <v/>
      </c>
      <c r="K43" s="46">
        <f>IFERROR(IF('📥 MF Data Input'!A43="","",IF('📥 MF Data Input'!O43&lt;0,"🔴 Negative Return",IF(AND('📥 MF Data Input'!I43&lt;&gt;"",'📥 MF Data Input'!O43&lt;'📥 MF Data Input'!I43/100),"🟡 Below Benchmark",IF('📥 MF Data Input'!O43&gt;0.15,"🟢 Outperforming","🔵 In Line")))),"")</f>
        <v/>
      </c>
      <c r="L43" s="47">
        <f>IFERROR(IF('📥 MF Data Input'!A43="","",IF('📥 MF Data Input'!O43&lt;0,"Negative returns — review fund; check if macro or fund-specific",IF(AND('📥 MF Data Input'!I43&lt;&gt;"",'📥 MF Data Input'!O43&lt;'📥 MF Data Input'!I43/100),"Lagging benchmark 2+ yrs? Consider switching to index fund",IF('📥 MF Data Input'!O43&gt;0.15,"Strong alpha — hold; consider increasing SIP","Continue SIP; review annually against benchmark")))),"")</f>
        <v/>
      </c>
    </row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L2"/>
    <mergeCell ref="A1:L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7F5003"/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26.6640625" customWidth="1" style="59" min="1" max="1"/>
    <col width="14.6640625" customWidth="1" style="59" min="2" max="2"/>
    <col width="18.6640625" customWidth="1" style="59" min="3" max="4"/>
    <col width="14.6640625" customWidth="1" style="59" min="5" max="5"/>
    <col width="13.6640625" customWidth="1" style="59" min="6" max="6"/>
    <col width="22.6640625" customWidth="1" style="59" min="7" max="7"/>
    <col width="8.6640625" customWidth="1" style="59" min="8" max="26"/>
  </cols>
  <sheetData>
    <row r="1" ht="30" customHeight="1" s="59">
      <c r="A1" s="67" t="inlineStr">
        <is>
          <t>Sector-Wise Equity Allocation</t>
        </is>
      </c>
    </row>
    <row r="2" ht="30" customHeight="1" s="59">
      <c r="A2" s="68" t="inlineStr">
        <is>
          <t>⚙️ Auto-calculated from Stock Data Input. Ensure you fill the Sector column (Column C) in the stock input sheet correctly for this to work.</t>
        </is>
      </c>
    </row>
    <row r="3" ht="24" customHeight="1" s="59">
      <c r="A3" s="21" t="inlineStr">
        <is>
          <t>Sector</t>
        </is>
      </c>
      <c r="B3" s="21" t="inlineStr">
        <is>
          <t>No. of Stocks</t>
        </is>
      </c>
      <c r="C3" s="21" t="inlineStr">
        <is>
          <t>Total Invested (₹)</t>
        </is>
      </c>
      <c r="D3" s="21" t="inlineStr">
        <is>
          <t>Current Value (₹)</t>
        </is>
      </c>
      <c r="E3" s="21" t="inlineStr">
        <is>
          <t>P&amp;L (₹)</t>
        </is>
      </c>
      <c r="F3" s="21" t="inlineStr">
        <is>
          <t>Wt % of Portfolio</t>
        </is>
      </c>
      <c r="G3" s="21" t="inlineStr">
        <is>
          <t>Concentration Flag</t>
        </is>
      </c>
    </row>
    <row r="4" ht="18" customHeight="1" s="59">
      <c r="A4" s="48" t="inlineStr">
        <is>
          <t>Banking &amp; Finance</t>
        </is>
      </c>
      <c r="B4" s="42">
        <f>COUNTIF('📥 Stock Data Input'!$C$4:$C$53,A4)</f>
        <v/>
      </c>
      <c r="C4" s="27">
        <f>SUMIF('📥 Stock Data Input'!$C$4:$C$53,A4,'📥 Stock Data Input'!$J$4:$J$53)</f>
        <v/>
      </c>
      <c r="D4" s="27">
        <f>SUMIF('📥 Stock Data Input'!$C$4:$C$53,A4,'📥 Stock Data Input'!$K$4:$K$53)</f>
        <v/>
      </c>
      <c r="E4" s="27">
        <f>IFERROR(D4-C4,0)</f>
        <v/>
      </c>
      <c r="F4" s="28">
        <f>IFERROR(D4/'📥 Stock Data Input'!$K$54,0)</f>
        <v/>
      </c>
      <c r="G4" s="42">
        <f>IF(F4&gt;0.3,"⚠️ High Concentration",IF(F4&gt;0.2,"🟡 Moderate","✅ Diversified"))</f>
        <v/>
      </c>
    </row>
    <row r="5" ht="18" customHeight="1" s="59">
      <c r="A5" s="49" t="inlineStr">
        <is>
          <t>IT &amp; Technology</t>
        </is>
      </c>
      <c r="B5" s="50">
        <f>COUNTIF('📥 Stock Data Input'!$C$4:$C$53,A5)</f>
        <v/>
      </c>
      <c r="C5" s="51">
        <f>SUMIF('📥 Stock Data Input'!$C$4:$C$53,A5,'📥 Stock Data Input'!$J$4:$J$53)</f>
        <v/>
      </c>
      <c r="D5" s="51">
        <f>SUMIF('📥 Stock Data Input'!$C$4:$C$53,A5,'📥 Stock Data Input'!$K$4:$K$53)</f>
        <v/>
      </c>
      <c r="E5" s="51">
        <f>IFERROR(D5-C5,0)</f>
        <v/>
      </c>
      <c r="F5" s="52">
        <f>IFERROR(D5/'📥 Stock Data Input'!$K$54,0)</f>
        <v/>
      </c>
      <c r="G5" s="50">
        <f>IF(F5&gt;0.3,"⚠️ High Concentration",IF(F5&gt;0.2,"🟡 Moderate","✅ Diversified"))</f>
        <v/>
      </c>
    </row>
    <row r="6" ht="18" customHeight="1" s="59">
      <c r="A6" s="48" t="inlineStr">
        <is>
          <t>FMCG &amp; Consumer</t>
        </is>
      </c>
      <c r="B6" s="42">
        <f>COUNTIF('📥 Stock Data Input'!$C$4:$C$53,A6)</f>
        <v/>
      </c>
      <c r="C6" s="27">
        <f>SUMIF('📥 Stock Data Input'!$C$4:$C$53,A6,'📥 Stock Data Input'!$J$4:$J$53)</f>
        <v/>
      </c>
      <c r="D6" s="27">
        <f>SUMIF('📥 Stock Data Input'!$C$4:$C$53,A6,'📥 Stock Data Input'!$K$4:$K$53)</f>
        <v/>
      </c>
      <c r="E6" s="27">
        <f>IFERROR(D6-C6,0)</f>
        <v/>
      </c>
      <c r="F6" s="28">
        <f>IFERROR(D6/'📥 Stock Data Input'!$K$54,0)</f>
        <v/>
      </c>
      <c r="G6" s="42">
        <f>IF(F6&gt;0.3,"⚠️ High Concentration",IF(F6&gt;0.2,"🟡 Moderate","✅ Diversified"))</f>
        <v/>
      </c>
    </row>
    <row r="7" ht="18" customHeight="1" s="59">
      <c r="A7" s="49" t="inlineStr">
        <is>
          <t>Pharma &amp; Healthcare</t>
        </is>
      </c>
      <c r="B7" s="50">
        <f>COUNTIF('📥 Stock Data Input'!$C$4:$C$53,A7)</f>
        <v/>
      </c>
      <c r="C7" s="51">
        <f>SUMIF('📥 Stock Data Input'!$C$4:$C$53,A7,'📥 Stock Data Input'!$J$4:$J$53)</f>
        <v/>
      </c>
      <c r="D7" s="51">
        <f>SUMIF('📥 Stock Data Input'!$C$4:$C$53,A7,'📥 Stock Data Input'!$K$4:$K$53)</f>
        <v/>
      </c>
      <c r="E7" s="51">
        <f>IFERROR(D7-C7,0)</f>
        <v/>
      </c>
      <c r="F7" s="52">
        <f>IFERROR(D7/'📥 Stock Data Input'!$K$54,0)</f>
        <v/>
      </c>
      <c r="G7" s="50">
        <f>IF(F7&gt;0.3,"⚠️ High Concentration",IF(F7&gt;0.2,"🟡 Moderate","✅ Diversified"))</f>
        <v/>
      </c>
    </row>
    <row r="8" ht="18" customHeight="1" s="59">
      <c r="A8" s="48" t="inlineStr">
        <is>
          <t>Auto &amp; Auto Ancillaries</t>
        </is>
      </c>
      <c r="B8" s="42">
        <f>COUNTIF('📥 Stock Data Input'!$C$4:$C$53,A8)</f>
        <v/>
      </c>
      <c r="C8" s="27">
        <f>SUMIF('📥 Stock Data Input'!$C$4:$C$53,A8,'📥 Stock Data Input'!$J$4:$J$53)</f>
        <v/>
      </c>
      <c r="D8" s="27">
        <f>SUMIF('📥 Stock Data Input'!$C$4:$C$53,A8,'📥 Stock Data Input'!$K$4:$K$53)</f>
        <v/>
      </c>
      <c r="E8" s="27">
        <f>IFERROR(D8-C8,0)</f>
        <v/>
      </c>
      <c r="F8" s="28">
        <f>IFERROR(D8/'📥 Stock Data Input'!$K$54,0)</f>
        <v/>
      </c>
      <c r="G8" s="42">
        <f>IF(F8&gt;0.3,"⚠️ High Concentration",IF(F8&gt;0.2,"🟡 Moderate","✅ Diversified"))</f>
        <v/>
      </c>
    </row>
    <row r="9" ht="18" customHeight="1" s="59">
      <c r="A9" s="49" t="inlineStr">
        <is>
          <t>Metals &amp; Mining</t>
        </is>
      </c>
      <c r="B9" s="50">
        <f>COUNTIF('📥 Stock Data Input'!$C$4:$C$53,A9)</f>
        <v/>
      </c>
      <c r="C9" s="51">
        <f>SUMIF('📥 Stock Data Input'!$C$4:$C$53,A9,'📥 Stock Data Input'!$J$4:$J$53)</f>
        <v/>
      </c>
      <c r="D9" s="51">
        <f>SUMIF('📥 Stock Data Input'!$C$4:$C$53,A9,'📥 Stock Data Input'!$K$4:$K$53)</f>
        <v/>
      </c>
      <c r="E9" s="51">
        <f>IFERROR(D9-C9,0)</f>
        <v/>
      </c>
      <c r="F9" s="52">
        <f>IFERROR(D9/'📥 Stock Data Input'!$K$54,0)</f>
        <v/>
      </c>
      <c r="G9" s="50">
        <f>IF(F9&gt;0.3,"⚠️ High Concentration",IF(F9&gt;0.2,"🟡 Moderate","✅ Diversified"))</f>
        <v/>
      </c>
    </row>
    <row r="10" ht="18" customHeight="1" s="59">
      <c r="A10" s="48" t="inlineStr">
        <is>
          <t>Energy &amp; Oil &amp; Gas</t>
        </is>
      </c>
      <c r="B10" s="42">
        <f>COUNTIF('📥 Stock Data Input'!$C$4:$C$53,A10)</f>
        <v/>
      </c>
      <c r="C10" s="27">
        <f>SUMIF('📥 Stock Data Input'!$C$4:$C$53,A10,'📥 Stock Data Input'!$J$4:$J$53)</f>
        <v/>
      </c>
      <c r="D10" s="27">
        <f>SUMIF('📥 Stock Data Input'!$C$4:$C$53,A10,'📥 Stock Data Input'!$K$4:$K$53)</f>
        <v/>
      </c>
      <c r="E10" s="27">
        <f>IFERROR(D10-C10,0)</f>
        <v/>
      </c>
      <c r="F10" s="28">
        <f>IFERROR(D10/'📥 Stock Data Input'!$K$54,0)</f>
        <v/>
      </c>
      <c r="G10" s="42">
        <f>IF(F10&gt;0.3,"⚠️ High Concentration",IF(F10&gt;0.2,"🟡 Moderate","✅ Diversified"))</f>
        <v/>
      </c>
    </row>
    <row r="11" ht="18" customHeight="1" s="59">
      <c r="A11" s="49" t="inlineStr">
        <is>
          <t>Cement &amp; Infra</t>
        </is>
      </c>
      <c r="B11" s="50">
        <f>COUNTIF('📥 Stock Data Input'!$C$4:$C$53,A11)</f>
        <v/>
      </c>
      <c r="C11" s="51">
        <f>SUMIF('📥 Stock Data Input'!$C$4:$C$53,A11,'📥 Stock Data Input'!$J$4:$J$53)</f>
        <v/>
      </c>
      <c r="D11" s="51">
        <f>SUMIF('📥 Stock Data Input'!$C$4:$C$53,A11,'📥 Stock Data Input'!$K$4:$K$53)</f>
        <v/>
      </c>
      <c r="E11" s="51">
        <f>IFERROR(D11-C11,0)</f>
        <v/>
      </c>
      <c r="F11" s="52">
        <f>IFERROR(D11/'📥 Stock Data Input'!$K$54,0)</f>
        <v/>
      </c>
      <c r="G11" s="50">
        <f>IF(F11&gt;0.3,"⚠️ High Concentration",IF(F11&gt;0.2,"🟡 Moderate","✅ Diversified"))</f>
        <v/>
      </c>
    </row>
    <row r="12" ht="18" customHeight="1" s="59">
      <c r="A12" s="48" t="inlineStr">
        <is>
          <t>Chemicals</t>
        </is>
      </c>
      <c r="B12" s="42">
        <f>COUNTIF('📥 Stock Data Input'!$C$4:$C$53,A12)</f>
        <v/>
      </c>
      <c r="C12" s="27">
        <f>SUMIF('📥 Stock Data Input'!$C$4:$C$53,A12,'📥 Stock Data Input'!$J$4:$J$53)</f>
        <v/>
      </c>
      <c r="D12" s="27">
        <f>SUMIF('📥 Stock Data Input'!$C$4:$C$53,A12,'📥 Stock Data Input'!$K$4:$K$53)</f>
        <v/>
      </c>
      <c r="E12" s="27">
        <f>IFERROR(D12-C12,0)</f>
        <v/>
      </c>
      <c r="F12" s="28">
        <f>IFERROR(D12/'📥 Stock Data Input'!$K$54,0)</f>
        <v/>
      </c>
      <c r="G12" s="42">
        <f>IF(F12&gt;0.3,"⚠️ High Concentration",IF(F12&gt;0.2,"🟡 Moderate","✅ Diversified"))</f>
        <v/>
      </c>
    </row>
    <row r="13" ht="18" customHeight="1" s="59">
      <c r="A13" s="49" t="inlineStr">
        <is>
          <t>Telecom</t>
        </is>
      </c>
      <c r="B13" s="50">
        <f>COUNTIF('📥 Stock Data Input'!$C$4:$C$53,A13)</f>
        <v/>
      </c>
      <c r="C13" s="51">
        <f>SUMIF('📥 Stock Data Input'!$C$4:$C$53,A13,'📥 Stock Data Input'!$J$4:$J$53)</f>
        <v/>
      </c>
      <c r="D13" s="51">
        <f>SUMIF('📥 Stock Data Input'!$C$4:$C$53,A13,'📥 Stock Data Input'!$K$4:$K$53)</f>
        <v/>
      </c>
      <c r="E13" s="51">
        <f>IFERROR(D13-C13,0)</f>
        <v/>
      </c>
      <c r="F13" s="52">
        <f>IFERROR(D13/'📥 Stock Data Input'!$K$54,0)</f>
        <v/>
      </c>
      <c r="G13" s="50">
        <f>IF(F13&gt;0.3,"⚠️ High Concentration",IF(F13&gt;0.2,"🟡 Moderate","✅ Diversified"))</f>
        <v/>
      </c>
    </row>
    <row r="14" ht="18" customHeight="1" s="59">
      <c r="A14" s="48" t="inlineStr">
        <is>
          <t>Real Estate</t>
        </is>
      </c>
      <c r="B14" s="42">
        <f>COUNTIF('📥 Stock Data Input'!$C$4:$C$53,A14)</f>
        <v/>
      </c>
      <c r="C14" s="27">
        <f>SUMIF('📥 Stock Data Input'!$C$4:$C$53,A14,'📥 Stock Data Input'!$J$4:$J$53)</f>
        <v/>
      </c>
      <c r="D14" s="27">
        <f>SUMIF('📥 Stock Data Input'!$C$4:$C$53,A14,'📥 Stock Data Input'!$K$4:$K$53)</f>
        <v/>
      </c>
      <c r="E14" s="27">
        <f>IFERROR(D14-C14,0)</f>
        <v/>
      </c>
      <c r="F14" s="28">
        <f>IFERROR(D14/'📥 Stock Data Input'!$K$54,0)</f>
        <v/>
      </c>
      <c r="G14" s="42">
        <f>IF(F14&gt;0.3,"⚠️ High Concentration",IF(F14&gt;0.2,"🟡 Moderate","✅ Diversified"))</f>
        <v/>
      </c>
    </row>
    <row r="15" ht="18" customHeight="1" s="59">
      <c r="A15" s="49" t="inlineStr">
        <is>
          <t>Textiles</t>
        </is>
      </c>
      <c r="B15" s="50">
        <f>COUNTIF('📥 Stock Data Input'!$C$4:$C$53,A15)</f>
        <v/>
      </c>
      <c r="C15" s="51">
        <f>SUMIF('📥 Stock Data Input'!$C$4:$C$53,A15,'📥 Stock Data Input'!$J$4:$J$53)</f>
        <v/>
      </c>
      <c r="D15" s="51">
        <f>SUMIF('📥 Stock Data Input'!$C$4:$C$53,A15,'📥 Stock Data Input'!$K$4:$K$53)</f>
        <v/>
      </c>
      <c r="E15" s="51">
        <f>IFERROR(D15-C15,0)</f>
        <v/>
      </c>
      <c r="F15" s="52">
        <f>IFERROR(D15/'📥 Stock Data Input'!$K$54,0)</f>
        <v/>
      </c>
      <c r="G15" s="50">
        <f>IF(F15&gt;0.3,"⚠️ High Concentration",IF(F15&gt;0.2,"🟡 Moderate","✅ Diversified"))</f>
        <v/>
      </c>
    </row>
    <row r="16" ht="18" customHeight="1" s="59">
      <c r="A16" s="48" t="inlineStr">
        <is>
          <t>Others</t>
        </is>
      </c>
      <c r="B16" s="42">
        <f>COUNTIF('📥 Stock Data Input'!$C$4:$C$53,A16)</f>
        <v/>
      </c>
      <c r="C16" s="27">
        <f>SUMIF('📥 Stock Data Input'!$C$4:$C$53,A16,'📥 Stock Data Input'!$J$4:$J$53)</f>
        <v/>
      </c>
      <c r="D16" s="27">
        <f>SUMIF('📥 Stock Data Input'!$C$4:$C$53,A16,'📥 Stock Data Input'!$K$4:$K$53)</f>
        <v/>
      </c>
      <c r="E16" s="27">
        <f>IFERROR(D16-C16,0)</f>
        <v/>
      </c>
      <c r="F16" s="28">
        <f>IFERROR(D16/'📥 Stock Data Input'!$K$54,0)</f>
        <v/>
      </c>
      <c r="G16" s="42">
        <f>IF(F16&gt;0.3,"⚠️ High Concentration",IF(F16&gt;0.2,"🟡 Moderate","✅ Diversified"))</f>
        <v/>
      </c>
    </row>
    <row r="17" ht="19.5" customHeight="1" s="59">
      <c r="A17" s="37" t="inlineStr">
        <is>
          <t>TOTAL</t>
        </is>
      </c>
      <c r="B17" s="21">
        <f>SUM(B4:B16)</f>
        <v/>
      </c>
      <c r="C17" s="38">
        <f>SUM(C4:C16)</f>
        <v/>
      </c>
      <c r="D17" s="38">
        <f>SUM(D4:D16)</f>
        <v/>
      </c>
      <c r="E17" s="38">
        <f>SUM(E4:E16)</f>
        <v/>
      </c>
      <c r="F17" s="37" t="n"/>
      <c r="G17" s="37" t="n"/>
    </row>
    <row r="18" ht="14.25" customHeight="1" s="59"/>
    <row r="19" ht="14.25" customHeight="1" s="59">
      <c r="A19" s="68" t="inlineStr">
        <is>
          <t>⚠️ Concentration Risk Note: Any single sector above 30% of portfolio warrants diversification review. Ideal: no sector &gt;25%.</t>
        </is>
      </c>
    </row>
    <row r="20" ht="14.25" customHeight="1" s="59"/>
    <row r="21" ht="14.25" customHeight="1" s="59"/>
    <row r="22" ht="14.25" customHeight="1" s="59"/>
    <row r="23" ht="14.25" customHeight="1" s="59"/>
    <row r="24" ht="14.25" customHeight="1" s="59"/>
    <row r="25" ht="14.25" customHeight="1" s="59"/>
    <row r="26" ht="14.25" customHeight="1" s="59"/>
    <row r="27" ht="14.25" customHeight="1" s="59"/>
    <row r="28" ht="14.25" customHeight="1" s="59"/>
    <row r="29" ht="14.25" customHeight="1" s="59"/>
    <row r="30" ht="14.25" customHeight="1" s="59"/>
    <row r="31" ht="14.25" customHeight="1" s="59"/>
    <row r="32" ht="14.25" customHeight="1" s="59"/>
    <row r="33" ht="14.25" customHeight="1" s="59"/>
    <row r="34" ht="14.25" customHeight="1" s="59"/>
    <row r="35" ht="14.25" customHeight="1" s="59"/>
    <row r="36" ht="14.25" customHeight="1" s="59"/>
    <row r="37" ht="14.25" customHeight="1" s="59"/>
    <row r="38" ht="14.25" customHeight="1" s="59"/>
    <row r="39" ht="14.25" customHeight="1" s="59"/>
    <row r="40" ht="14.25" customHeight="1" s="59"/>
    <row r="41" ht="14.25" customHeight="1" s="59"/>
    <row r="42" ht="14.25" customHeight="1" s="59"/>
    <row r="43" ht="14.25" customHeight="1" s="59"/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3">
    <mergeCell ref="A19:G19"/>
    <mergeCell ref="A2:G2"/>
    <mergeCell ref="A1:G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H11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36.6640625" customWidth="1" style="59" min="1" max="1"/>
    <col width="16.6640625" customWidth="1" style="59" min="2" max="2"/>
    <col width="12.6640625" customWidth="1" style="59" min="3" max="4"/>
    <col width="16.6640625" customWidth="1" style="59" min="5" max="6"/>
    <col width="12.6640625" customWidth="1" style="59" min="7" max="7"/>
    <col width="36.6640625" customWidth="1" style="59" min="8" max="8"/>
    <col width="8.6640625" customWidth="1" style="59" min="9" max="26"/>
  </cols>
  <sheetData>
    <row r="1" ht="30" customHeight="1" s="59">
      <c r="A1" s="67" t="inlineStr">
        <is>
          <t>Risk Flags &amp; Action Signals — Stocks &amp; Mutual Funds</t>
        </is>
      </c>
    </row>
    <row r="2" ht="30" customHeight="1" s="59">
      <c r="A2" s="68" t="inlineStr">
        <is>
          <t>⚙️ Auto-generated. All signals pull from analysis sheets. Update prices in input sheets to refresh.</t>
        </is>
      </c>
    </row>
    <row r="3" ht="14.25" customHeight="1" s="59"/>
    <row r="4" ht="21.75" customHeight="1" s="59">
      <c r="A4" s="72" t="inlineStr">
        <is>
          <t>📊 PORTFOLIO SIGNALS SUMMARY</t>
        </is>
      </c>
    </row>
    <row r="5" ht="19.5" customHeight="1" s="59">
      <c r="A5" s="21" t="inlineStr">
        <is>
          <t>Metric</t>
        </is>
      </c>
      <c r="B5" s="21" t="inlineStr">
        <is>
          <t>Count</t>
        </is>
      </c>
      <c r="C5" s="21" t="n"/>
      <c r="D5" s="21" t="n"/>
      <c r="E5" s="21" t="n"/>
      <c r="F5" s="21" t="n"/>
      <c r="G5" s="21" t="n"/>
      <c r="H5" s="21" t="n"/>
    </row>
    <row r="6" ht="19.5" customHeight="1" s="59">
      <c r="A6" s="73" t="inlineStr">
        <is>
          <t>Total stocks in portfolio</t>
        </is>
      </c>
      <c r="B6" s="70" t="n"/>
      <c r="C6" s="70" t="n"/>
      <c r="D6" s="70" t="n"/>
      <c r="E6" s="70" t="n"/>
      <c r="F6" s="70" t="n"/>
      <c r="G6" s="63" t="n"/>
      <c r="H6" s="53">
        <f>COUNTA('📥 Stock Data Input'!A4:A53)</f>
        <v/>
      </c>
    </row>
    <row r="7" ht="19.5" customHeight="1" s="59">
      <c r="A7" s="74" t="inlineStr">
        <is>
          <t>🟢 Strong performers (return &gt;20%)</t>
        </is>
      </c>
      <c r="B7" s="70" t="n"/>
      <c r="C7" s="70" t="n"/>
      <c r="D7" s="70" t="n"/>
      <c r="E7" s="70" t="n"/>
      <c r="F7" s="70" t="n"/>
      <c r="G7" s="63" t="n"/>
      <c r="H7" s="54">
        <f>COUNTIF('📊 Stock Analysis'!G4:G53,"&gt;0.2")</f>
        <v/>
      </c>
    </row>
    <row r="8" ht="19.5" customHeight="1" s="59">
      <c r="A8" s="71" t="inlineStr">
        <is>
          <t>🔴 Positions in loss (return &lt;0)</t>
        </is>
      </c>
      <c r="B8" s="70" t="n"/>
      <c r="C8" s="70" t="n"/>
      <c r="D8" s="70" t="n"/>
      <c r="E8" s="70" t="n"/>
      <c r="F8" s="70" t="n"/>
      <c r="G8" s="63" t="n"/>
      <c r="H8" s="55">
        <f>COUNTIF('📊 Stock Analysis'!G4:G53,"&lt;0")</f>
        <v/>
      </c>
    </row>
    <row r="9" ht="19.5" customHeight="1" s="59">
      <c r="A9" s="69" t="inlineStr">
        <is>
          <t>🟡 Underperforming vs Nifty</t>
        </is>
      </c>
      <c r="B9" s="70" t="n"/>
      <c r="C9" s="70" t="n"/>
      <c r="D9" s="70" t="n"/>
      <c r="E9" s="70" t="n"/>
      <c r="F9" s="70" t="n"/>
      <c r="G9" s="63" t="n"/>
      <c r="H9" s="56">
        <f>COUNTIF('📊 Stock Analysis'!K4:K53,"❌ Lag Nifty")</f>
        <v/>
      </c>
    </row>
    <row r="10" ht="19.5" customHeight="1" s="59">
      <c r="A10" s="69" t="inlineStr">
        <is>
          <t>⚠️ Tiny positions (current value &lt;₹10,000)</t>
        </is>
      </c>
      <c r="B10" s="70" t="n"/>
      <c r="C10" s="70" t="n"/>
      <c r="D10" s="70" t="n"/>
      <c r="E10" s="70" t="n"/>
      <c r="F10" s="70" t="n"/>
      <c r="G10" s="63" t="n"/>
      <c r="H10" s="56">
        <f>COUNTIF('📊 Stock Analysis'!E4:E53,"&lt;10000")</f>
        <v/>
      </c>
    </row>
    <row r="11" ht="19.5" customHeight="1" s="59">
      <c r="A11" s="73" t="inlineStr">
        <is>
          <t>Total MFs in portfolio</t>
        </is>
      </c>
      <c r="B11" s="70" t="n"/>
      <c r="C11" s="70" t="n"/>
      <c r="D11" s="70" t="n"/>
      <c r="E11" s="70" t="n"/>
      <c r="F11" s="70" t="n"/>
      <c r="G11" s="63" t="n"/>
      <c r="H11" s="53">
        <f>COUNTA('📥 MF Data Input'!A4:A43)</f>
        <v/>
      </c>
    </row>
    <row r="12" ht="19.5" customHeight="1" s="59">
      <c r="A12" s="74" t="inlineStr">
        <is>
          <t>🟢 MFs outperforming benchmark</t>
        </is>
      </c>
      <c r="B12" s="70" t="n"/>
      <c r="C12" s="70" t="n"/>
      <c r="D12" s="70" t="n"/>
      <c r="E12" s="70" t="n"/>
      <c r="F12" s="70" t="n"/>
      <c r="G12" s="63" t="n"/>
      <c r="H12" s="54">
        <f>COUNTIF('📊 MF Analysis'!K4:K43,"🟢 Outperforming")</f>
        <v/>
      </c>
    </row>
    <row r="13" ht="19.5" customHeight="1" s="59">
      <c r="A13" s="69" t="inlineStr">
        <is>
          <t>🟡 MFs below benchmark</t>
        </is>
      </c>
      <c r="B13" s="70" t="n"/>
      <c r="C13" s="70" t="n"/>
      <c r="D13" s="70" t="n"/>
      <c r="E13" s="70" t="n"/>
      <c r="F13" s="70" t="n"/>
      <c r="G13" s="63" t="n"/>
      <c r="H13" s="56">
        <f>COUNTIF('📊 MF Analysis'!K4:K43,"🟡 Below Benchmark")</f>
        <v/>
      </c>
    </row>
    <row r="14" ht="19.5" customHeight="1" s="59">
      <c r="A14" s="71" t="inlineStr">
        <is>
          <t>🔴 MFs with negative returns</t>
        </is>
      </c>
      <c r="B14" s="70" t="n"/>
      <c r="C14" s="70" t="n"/>
      <c r="D14" s="70" t="n"/>
      <c r="E14" s="70" t="n"/>
      <c r="F14" s="70" t="n"/>
      <c r="G14" s="63" t="n"/>
      <c r="H14" s="55">
        <f>COUNTIF('📊 MF Analysis'!K4:K43,"🔴 Negative Return")</f>
        <v/>
      </c>
    </row>
    <row r="15" ht="14.25" customHeight="1" s="59"/>
    <row r="16" ht="21.75" customHeight="1" s="59">
      <c r="A16" s="72" t="inlineStr">
        <is>
          <t>DETAILED ACTION FLAGS — STOCKS</t>
        </is>
      </c>
    </row>
    <row r="17" ht="24" customHeight="1" s="59">
      <c r="A17" s="21" t="inlineStr">
        <is>
          <t>Scrip Name</t>
        </is>
      </c>
      <c r="B17" s="21" t="inlineStr">
        <is>
          <t>Current Value (₹)</t>
        </is>
      </c>
      <c r="C17" s="21" t="inlineStr">
        <is>
          <t>Return %</t>
        </is>
      </c>
      <c r="D17" s="21" t="inlineStr">
        <is>
          <t>Ann. XIRR %</t>
        </is>
      </c>
      <c r="E17" s="21" t="inlineStr">
        <is>
          <t>vs Nifty</t>
        </is>
      </c>
      <c r="F17" s="21" t="inlineStr">
        <is>
          <t>Signal</t>
        </is>
      </c>
      <c r="G17" s="21" t="inlineStr">
        <is>
          <t>Priority</t>
        </is>
      </c>
      <c r="H17" s="21" t="inlineStr">
        <is>
          <t>Recommended Action</t>
        </is>
      </c>
    </row>
    <row r="18" ht="16.5" customHeight="1" s="59">
      <c r="A18" s="44">
        <f>'📥 Stock Data Input'!A5</f>
        <v/>
      </c>
      <c r="B18" s="34">
        <f>'📥 Stock Data Input'!K5</f>
        <v/>
      </c>
      <c r="C18" s="35">
        <f>'📥 Stock Data Input'!M5</f>
        <v/>
      </c>
      <c r="D18" s="35">
        <f>'📥 Stock Data Input'!N5</f>
        <v/>
      </c>
      <c r="E18" s="46">
        <f>'📊 Stock Analysis'!K5</f>
        <v/>
      </c>
      <c r="F18" s="46">
        <f>'📊 Stock Analysis'!L5</f>
        <v/>
      </c>
      <c r="G18" s="46">
        <f>IFERROR(IF('📥 Stock Data Input'!A5="","",IF('📥 Stock Data Input'!M5&lt;-0.3,"🔴 HIGH",IF(OR('📥 Stock Data Input'!M5&lt;0,'📥 Stock Data Input'!K5&lt;5000),"🟡 MEDIUM","🔵 LOW"))),"")</f>
        <v/>
      </c>
      <c r="H18" s="47">
        <f>'📊 Stock Analysis'!M5</f>
        <v/>
      </c>
    </row>
    <row r="19" ht="16.5" customHeight="1" s="59">
      <c r="A19" s="73">
        <f>'📥 Stock Data Input'!A6</f>
        <v/>
      </c>
      <c r="B19" s="27">
        <f>'📥 Stock Data Input'!K6</f>
        <v/>
      </c>
      <c r="C19" s="28">
        <f>'📥 Stock Data Input'!M6</f>
        <v/>
      </c>
      <c r="D19" s="28">
        <f>'📥 Stock Data Input'!N6</f>
        <v/>
      </c>
      <c r="E19" s="42">
        <f>'📊 Stock Analysis'!K6</f>
        <v/>
      </c>
      <c r="F19" s="42">
        <f>'📊 Stock Analysis'!L6</f>
        <v/>
      </c>
      <c r="G19" s="42">
        <f>IFERROR(IF('📥 Stock Data Input'!A6="","",IF('📥 Stock Data Input'!M6&lt;-0.3,"🔴 HIGH",IF(OR('📥 Stock Data Input'!M6&lt;0,'📥 Stock Data Input'!K6&lt;5000),"🟡 MEDIUM","🔵 LOW"))),"")</f>
        <v/>
      </c>
      <c r="H19" s="43">
        <f>'📊 Stock Analysis'!M6</f>
        <v/>
      </c>
    </row>
    <row r="20" ht="16.5" customHeight="1" s="59">
      <c r="A20" s="44">
        <f>'📥 Stock Data Input'!A7</f>
        <v/>
      </c>
      <c r="B20" s="34">
        <f>'📥 Stock Data Input'!K7</f>
        <v/>
      </c>
      <c r="C20" s="35">
        <f>'📥 Stock Data Input'!M7</f>
        <v/>
      </c>
      <c r="D20" s="35">
        <f>'📥 Stock Data Input'!N7</f>
        <v/>
      </c>
      <c r="E20" s="46">
        <f>'📊 Stock Analysis'!K7</f>
        <v/>
      </c>
      <c r="F20" s="46">
        <f>'📊 Stock Analysis'!L7</f>
        <v/>
      </c>
      <c r="G20" s="46">
        <f>IFERROR(IF('📥 Stock Data Input'!A7="","",IF('📥 Stock Data Input'!M7&lt;-0.3,"🔴 HIGH",IF(OR('📥 Stock Data Input'!M7&lt;0,'📥 Stock Data Input'!K7&lt;5000),"🟡 MEDIUM","🔵 LOW"))),"")</f>
        <v/>
      </c>
      <c r="H20" s="47">
        <f>'📊 Stock Analysis'!M7</f>
        <v/>
      </c>
    </row>
    <row r="21" ht="16.5" customHeight="1" s="59">
      <c r="A21" s="73">
        <f>'📥 Stock Data Input'!A8</f>
        <v/>
      </c>
      <c r="B21" s="27">
        <f>'📥 Stock Data Input'!K8</f>
        <v/>
      </c>
      <c r="C21" s="28">
        <f>'📥 Stock Data Input'!M8</f>
        <v/>
      </c>
      <c r="D21" s="28">
        <f>'📥 Stock Data Input'!N8</f>
        <v/>
      </c>
      <c r="E21" s="42">
        <f>'📊 Stock Analysis'!K8</f>
        <v/>
      </c>
      <c r="F21" s="42">
        <f>'📊 Stock Analysis'!L8</f>
        <v/>
      </c>
      <c r="G21" s="42">
        <f>IFERROR(IF('📥 Stock Data Input'!A8="","",IF('📥 Stock Data Input'!M8&lt;-0.3,"🔴 HIGH",IF(OR('📥 Stock Data Input'!M8&lt;0,'📥 Stock Data Input'!K8&lt;5000),"🟡 MEDIUM","🔵 LOW"))),"")</f>
        <v/>
      </c>
      <c r="H21" s="43">
        <f>'📊 Stock Analysis'!M8</f>
        <v/>
      </c>
    </row>
    <row r="22" ht="16.5" customHeight="1" s="59">
      <c r="A22" s="44">
        <f>'📥 Stock Data Input'!A9</f>
        <v/>
      </c>
      <c r="B22" s="34">
        <f>'📥 Stock Data Input'!K9</f>
        <v/>
      </c>
      <c r="C22" s="35">
        <f>'📥 Stock Data Input'!M9</f>
        <v/>
      </c>
      <c r="D22" s="35">
        <f>'📥 Stock Data Input'!N9</f>
        <v/>
      </c>
      <c r="E22" s="46">
        <f>'📊 Stock Analysis'!K9</f>
        <v/>
      </c>
      <c r="F22" s="46">
        <f>'📊 Stock Analysis'!L9</f>
        <v/>
      </c>
      <c r="G22" s="46">
        <f>IFERROR(IF('📥 Stock Data Input'!A9="","",IF('📥 Stock Data Input'!M9&lt;-0.3,"🔴 HIGH",IF(OR('📥 Stock Data Input'!M9&lt;0,'📥 Stock Data Input'!K9&lt;5000),"🟡 MEDIUM","🔵 LOW"))),"")</f>
        <v/>
      </c>
      <c r="H22" s="47">
        <f>'📊 Stock Analysis'!M9</f>
        <v/>
      </c>
    </row>
    <row r="23" ht="16.5" customHeight="1" s="59">
      <c r="A23" s="73">
        <f>'📥 Stock Data Input'!A10</f>
        <v/>
      </c>
      <c r="B23" s="27">
        <f>'📥 Stock Data Input'!K10</f>
        <v/>
      </c>
      <c r="C23" s="28">
        <f>'📥 Stock Data Input'!M10</f>
        <v/>
      </c>
      <c r="D23" s="28">
        <f>'📥 Stock Data Input'!N10</f>
        <v/>
      </c>
      <c r="E23" s="42">
        <f>'📊 Stock Analysis'!K10</f>
        <v/>
      </c>
      <c r="F23" s="42">
        <f>'📊 Stock Analysis'!L10</f>
        <v/>
      </c>
      <c r="G23" s="42">
        <f>IFERROR(IF('📥 Stock Data Input'!A10="","",IF('📥 Stock Data Input'!M10&lt;-0.3,"🔴 HIGH",IF(OR('📥 Stock Data Input'!M10&lt;0,'📥 Stock Data Input'!K10&lt;5000),"🟡 MEDIUM","🔵 LOW"))),"")</f>
        <v/>
      </c>
      <c r="H23" s="43">
        <f>'📊 Stock Analysis'!M10</f>
        <v/>
      </c>
    </row>
    <row r="24" ht="16.5" customHeight="1" s="59">
      <c r="A24" s="44">
        <f>'📥 Stock Data Input'!A11</f>
        <v/>
      </c>
      <c r="B24" s="34">
        <f>'📥 Stock Data Input'!K11</f>
        <v/>
      </c>
      <c r="C24" s="35">
        <f>'📥 Stock Data Input'!M11</f>
        <v/>
      </c>
      <c r="D24" s="35">
        <f>'📥 Stock Data Input'!N11</f>
        <v/>
      </c>
      <c r="E24" s="46">
        <f>'📊 Stock Analysis'!K11</f>
        <v/>
      </c>
      <c r="F24" s="46">
        <f>'📊 Stock Analysis'!L11</f>
        <v/>
      </c>
      <c r="G24" s="46">
        <f>IFERROR(IF('📥 Stock Data Input'!A11="","",IF('📥 Stock Data Input'!M11&lt;-0.3,"🔴 HIGH",IF(OR('📥 Stock Data Input'!M11&lt;0,'📥 Stock Data Input'!K11&lt;5000),"🟡 MEDIUM","🔵 LOW"))),"")</f>
        <v/>
      </c>
      <c r="H24" s="47">
        <f>'📊 Stock Analysis'!M11</f>
        <v/>
      </c>
    </row>
    <row r="25" ht="16.5" customHeight="1" s="59">
      <c r="A25" s="73">
        <f>'📥 Stock Data Input'!A12</f>
        <v/>
      </c>
      <c r="B25" s="27">
        <f>'📥 Stock Data Input'!K12</f>
        <v/>
      </c>
      <c r="C25" s="28">
        <f>'📥 Stock Data Input'!M12</f>
        <v/>
      </c>
      <c r="D25" s="28">
        <f>'📥 Stock Data Input'!N12</f>
        <v/>
      </c>
      <c r="E25" s="42">
        <f>'📊 Stock Analysis'!K12</f>
        <v/>
      </c>
      <c r="F25" s="42">
        <f>'📊 Stock Analysis'!L12</f>
        <v/>
      </c>
      <c r="G25" s="42">
        <f>IFERROR(IF('📥 Stock Data Input'!A12="","",IF('📥 Stock Data Input'!M12&lt;-0.3,"🔴 HIGH",IF(OR('📥 Stock Data Input'!M12&lt;0,'📥 Stock Data Input'!K12&lt;5000),"🟡 MEDIUM","🔵 LOW"))),"")</f>
        <v/>
      </c>
      <c r="H25" s="43">
        <f>'📊 Stock Analysis'!M12</f>
        <v/>
      </c>
    </row>
    <row r="26" ht="16.5" customHeight="1" s="59">
      <c r="A26" s="44">
        <f>'📥 Stock Data Input'!A13</f>
        <v/>
      </c>
      <c r="B26" s="34">
        <f>'📥 Stock Data Input'!K13</f>
        <v/>
      </c>
      <c r="C26" s="35">
        <f>'📥 Stock Data Input'!M13</f>
        <v/>
      </c>
      <c r="D26" s="35">
        <f>'📥 Stock Data Input'!N13</f>
        <v/>
      </c>
      <c r="E26" s="46">
        <f>'📊 Stock Analysis'!K13</f>
        <v/>
      </c>
      <c r="F26" s="46">
        <f>'📊 Stock Analysis'!L13</f>
        <v/>
      </c>
      <c r="G26" s="46">
        <f>IFERROR(IF('📥 Stock Data Input'!A13="","",IF('📥 Stock Data Input'!M13&lt;-0.3,"🔴 HIGH",IF(OR('📥 Stock Data Input'!M13&lt;0,'📥 Stock Data Input'!K13&lt;5000),"🟡 MEDIUM","🔵 LOW"))),"")</f>
        <v/>
      </c>
      <c r="H26" s="47">
        <f>'📊 Stock Analysis'!M13</f>
        <v/>
      </c>
    </row>
    <row r="27" ht="16.5" customHeight="1" s="59">
      <c r="A27" s="73">
        <f>'📥 Stock Data Input'!A14</f>
        <v/>
      </c>
      <c r="B27" s="27">
        <f>'📥 Stock Data Input'!K14</f>
        <v/>
      </c>
      <c r="C27" s="28">
        <f>'📥 Stock Data Input'!M14</f>
        <v/>
      </c>
      <c r="D27" s="28">
        <f>'📥 Stock Data Input'!N14</f>
        <v/>
      </c>
      <c r="E27" s="42">
        <f>'📊 Stock Analysis'!K14</f>
        <v/>
      </c>
      <c r="F27" s="42">
        <f>'📊 Stock Analysis'!L14</f>
        <v/>
      </c>
      <c r="G27" s="42">
        <f>IFERROR(IF('📥 Stock Data Input'!A14="","",IF('📥 Stock Data Input'!M14&lt;-0.3,"🔴 HIGH",IF(OR('📥 Stock Data Input'!M14&lt;0,'📥 Stock Data Input'!K14&lt;5000),"🟡 MEDIUM","🔵 LOW"))),"")</f>
        <v/>
      </c>
      <c r="H27" s="43">
        <f>'📊 Stock Analysis'!M14</f>
        <v/>
      </c>
    </row>
    <row r="28" ht="16.5" customHeight="1" s="59">
      <c r="A28" s="44">
        <f>'📥 Stock Data Input'!A15</f>
        <v/>
      </c>
      <c r="B28" s="34">
        <f>'📥 Stock Data Input'!K15</f>
        <v/>
      </c>
      <c r="C28" s="35">
        <f>'📥 Stock Data Input'!M15</f>
        <v/>
      </c>
      <c r="D28" s="35">
        <f>'📥 Stock Data Input'!N15</f>
        <v/>
      </c>
      <c r="E28" s="46">
        <f>'📊 Stock Analysis'!K15</f>
        <v/>
      </c>
      <c r="F28" s="46">
        <f>'📊 Stock Analysis'!L15</f>
        <v/>
      </c>
      <c r="G28" s="46">
        <f>IFERROR(IF('📥 Stock Data Input'!A15="","",IF('📥 Stock Data Input'!M15&lt;-0.3,"🔴 HIGH",IF(OR('📥 Stock Data Input'!M15&lt;0,'📥 Stock Data Input'!K15&lt;5000),"🟡 MEDIUM","🔵 LOW"))),"")</f>
        <v/>
      </c>
      <c r="H28" s="47">
        <f>'📊 Stock Analysis'!M15</f>
        <v/>
      </c>
    </row>
    <row r="29" ht="16.5" customHeight="1" s="59">
      <c r="A29" s="73">
        <f>'📥 Stock Data Input'!A16</f>
        <v/>
      </c>
      <c r="B29" s="27">
        <f>'📥 Stock Data Input'!K16</f>
        <v/>
      </c>
      <c r="C29" s="28">
        <f>'📥 Stock Data Input'!M16</f>
        <v/>
      </c>
      <c r="D29" s="28">
        <f>'📥 Stock Data Input'!N16</f>
        <v/>
      </c>
      <c r="E29" s="42">
        <f>'📊 Stock Analysis'!K16</f>
        <v/>
      </c>
      <c r="F29" s="42">
        <f>'📊 Stock Analysis'!L16</f>
        <v/>
      </c>
      <c r="G29" s="42">
        <f>IFERROR(IF('📥 Stock Data Input'!A16="","",IF('📥 Stock Data Input'!M16&lt;-0.3,"🔴 HIGH",IF(OR('📥 Stock Data Input'!M16&lt;0,'📥 Stock Data Input'!K16&lt;5000),"🟡 MEDIUM","🔵 LOW"))),"")</f>
        <v/>
      </c>
      <c r="H29" s="43">
        <f>'📊 Stock Analysis'!M16</f>
        <v/>
      </c>
    </row>
    <row r="30" ht="16.5" customHeight="1" s="59">
      <c r="A30" s="44">
        <f>'📥 Stock Data Input'!A17</f>
        <v/>
      </c>
      <c r="B30" s="34">
        <f>'📥 Stock Data Input'!K17</f>
        <v/>
      </c>
      <c r="C30" s="35">
        <f>'📥 Stock Data Input'!M17</f>
        <v/>
      </c>
      <c r="D30" s="35">
        <f>'📥 Stock Data Input'!N17</f>
        <v/>
      </c>
      <c r="E30" s="46">
        <f>'📊 Stock Analysis'!K17</f>
        <v/>
      </c>
      <c r="F30" s="46">
        <f>'📊 Stock Analysis'!L17</f>
        <v/>
      </c>
      <c r="G30" s="46">
        <f>IFERROR(IF('📥 Stock Data Input'!A17="","",IF('📥 Stock Data Input'!M17&lt;-0.3,"🔴 HIGH",IF(OR('📥 Stock Data Input'!M17&lt;0,'📥 Stock Data Input'!K17&lt;5000),"🟡 MEDIUM","🔵 LOW"))),"")</f>
        <v/>
      </c>
      <c r="H30" s="47">
        <f>'📊 Stock Analysis'!M17</f>
        <v/>
      </c>
    </row>
    <row r="31" ht="16.5" customHeight="1" s="59">
      <c r="A31" s="73">
        <f>'📥 Stock Data Input'!A18</f>
        <v/>
      </c>
      <c r="B31" s="27">
        <f>'📥 Stock Data Input'!K18</f>
        <v/>
      </c>
      <c r="C31" s="28">
        <f>'📥 Stock Data Input'!M18</f>
        <v/>
      </c>
      <c r="D31" s="28">
        <f>'📥 Stock Data Input'!N18</f>
        <v/>
      </c>
      <c r="E31" s="42">
        <f>'📊 Stock Analysis'!K18</f>
        <v/>
      </c>
      <c r="F31" s="42">
        <f>'📊 Stock Analysis'!L18</f>
        <v/>
      </c>
      <c r="G31" s="42">
        <f>IFERROR(IF('📥 Stock Data Input'!A18="","",IF('📥 Stock Data Input'!M18&lt;-0.3,"🔴 HIGH",IF(OR('📥 Stock Data Input'!M18&lt;0,'📥 Stock Data Input'!K18&lt;5000),"🟡 MEDIUM","🔵 LOW"))),"")</f>
        <v/>
      </c>
      <c r="H31" s="43">
        <f>'📊 Stock Analysis'!M18</f>
        <v/>
      </c>
    </row>
    <row r="32" ht="16.5" customHeight="1" s="59">
      <c r="A32" s="44">
        <f>'📥 Stock Data Input'!A19</f>
        <v/>
      </c>
      <c r="B32" s="34">
        <f>'📥 Stock Data Input'!K19</f>
        <v/>
      </c>
      <c r="C32" s="35">
        <f>'📥 Stock Data Input'!M19</f>
        <v/>
      </c>
      <c r="D32" s="35">
        <f>'📥 Stock Data Input'!N19</f>
        <v/>
      </c>
      <c r="E32" s="46">
        <f>'📊 Stock Analysis'!K19</f>
        <v/>
      </c>
      <c r="F32" s="46">
        <f>'📊 Stock Analysis'!L19</f>
        <v/>
      </c>
      <c r="G32" s="46">
        <f>IFERROR(IF('📥 Stock Data Input'!A19="","",IF('📥 Stock Data Input'!M19&lt;-0.3,"🔴 HIGH",IF(OR('📥 Stock Data Input'!M19&lt;0,'📥 Stock Data Input'!K19&lt;5000),"🟡 MEDIUM","🔵 LOW"))),"")</f>
        <v/>
      </c>
      <c r="H32" s="47">
        <f>'📊 Stock Analysis'!M19</f>
        <v/>
      </c>
    </row>
    <row r="33" ht="16.5" customHeight="1" s="59">
      <c r="A33" s="73">
        <f>'📥 Stock Data Input'!A20</f>
        <v/>
      </c>
      <c r="B33" s="27">
        <f>'📥 Stock Data Input'!K20</f>
        <v/>
      </c>
      <c r="C33" s="28">
        <f>'📥 Stock Data Input'!M20</f>
        <v/>
      </c>
      <c r="D33" s="28">
        <f>'📥 Stock Data Input'!N20</f>
        <v/>
      </c>
      <c r="E33" s="42">
        <f>'📊 Stock Analysis'!K20</f>
        <v/>
      </c>
      <c r="F33" s="42">
        <f>'📊 Stock Analysis'!L20</f>
        <v/>
      </c>
      <c r="G33" s="42">
        <f>IFERROR(IF('📥 Stock Data Input'!A20="","",IF('📥 Stock Data Input'!M20&lt;-0.3,"🔴 HIGH",IF(OR('📥 Stock Data Input'!M20&lt;0,'📥 Stock Data Input'!K20&lt;5000),"🟡 MEDIUM","🔵 LOW"))),"")</f>
        <v/>
      </c>
      <c r="H33" s="43">
        <f>'📊 Stock Analysis'!M20</f>
        <v/>
      </c>
    </row>
    <row r="34" ht="16.5" customHeight="1" s="59">
      <c r="A34" s="44">
        <f>'📥 Stock Data Input'!A21</f>
        <v/>
      </c>
      <c r="B34" s="34">
        <f>'📥 Stock Data Input'!K21</f>
        <v/>
      </c>
      <c r="C34" s="35">
        <f>'📥 Stock Data Input'!M21</f>
        <v/>
      </c>
      <c r="D34" s="35">
        <f>'📥 Stock Data Input'!N21</f>
        <v/>
      </c>
      <c r="E34" s="46">
        <f>'📊 Stock Analysis'!K21</f>
        <v/>
      </c>
      <c r="F34" s="46">
        <f>'📊 Stock Analysis'!L21</f>
        <v/>
      </c>
      <c r="G34" s="46">
        <f>IFERROR(IF('📥 Stock Data Input'!A21="","",IF('📥 Stock Data Input'!M21&lt;-0.3,"🔴 HIGH",IF(OR('📥 Stock Data Input'!M21&lt;0,'📥 Stock Data Input'!K21&lt;5000),"🟡 MEDIUM","🔵 LOW"))),"")</f>
        <v/>
      </c>
      <c r="H34" s="47">
        <f>'📊 Stock Analysis'!M21</f>
        <v/>
      </c>
    </row>
    <row r="35" ht="16.5" customHeight="1" s="59">
      <c r="A35" s="73">
        <f>'📥 Stock Data Input'!A22</f>
        <v/>
      </c>
      <c r="B35" s="27">
        <f>'📥 Stock Data Input'!K22</f>
        <v/>
      </c>
      <c r="C35" s="28">
        <f>'📥 Stock Data Input'!M22</f>
        <v/>
      </c>
      <c r="D35" s="28">
        <f>'📥 Stock Data Input'!N22</f>
        <v/>
      </c>
      <c r="E35" s="42">
        <f>'📊 Stock Analysis'!K22</f>
        <v/>
      </c>
      <c r="F35" s="42">
        <f>'📊 Stock Analysis'!L22</f>
        <v/>
      </c>
      <c r="G35" s="42">
        <f>IFERROR(IF('📥 Stock Data Input'!A22="","",IF('📥 Stock Data Input'!M22&lt;-0.3,"🔴 HIGH",IF(OR('📥 Stock Data Input'!M22&lt;0,'📥 Stock Data Input'!K22&lt;5000),"🟡 MEDIUM","🔵 LOW"))),"")</f>
        <v/>
      </c>
      <c r="H35" s="43">
        <f>'📊 Stock Analysis'!M22</f>
        <v/>
      </c>
    </row>
    <row r="36" ht="16.5" customHeight="1" s="59">
      <c r="A36" s="44">
        <f>'📥 Stock Data Input'!A23</f>
        <v/>
      </c>
      <c r="B36" s="34">
        <f>'📥 Stock Data Input'!K23</f>
        <v/>
      </c>
      <c r="C36" s="35">
        <f>'📥 Stock Data Input'!M23</f>
        <v/>
      </c>
      <c r="D36" s="35">
        <f>'📥 Stock Data Input'!N23</f>
        <v/>
      </c>
      <c r="E36" s="46">
        <f>'📊 Stock Analysis'!K23</f>
        <v/>
      </c>
      <c r="F36" s="46">
        <f>'📊 Stock Analysis'!L23</f>
        <v/>
      </c>
      <c r="G36" s="46">
        <f>IFERROR(IF('📥 Stock Data Input'!A23="","",IF('📥 Stock Data Input'!M23&lt;-0.3,"🔴 HIGH",IF(OR('📥 Stock Data Input'!M23&lt;0,'📥 Stock Data Input'!K23&lt;5000),"🟡 MEDIUM","🔵 LOW"))),"")</f>
        <v/>
      </c>
      <c r="H36" s="47">
        <f>'📊 Stock Analysis'!M23</f>
        <v/>
      </c>
    </row>
    <row r="37" ht="16.5" customHeight="1" s="59">
      <c r="A37" s="73">
        <f>'📥 Stock Data Input'!A24</f>
        <v/>
      </c>
      <c r="B37" s="27">
        <f>'📥 Stock Data Input'!K24</f>
        <v/>
      </c>
      <c r="C37" s="28">
        <f>'📥 Stock Data Input'!M24</f>
        <v/>
      </c>
      <c r="D37" s="28">
        <f>'📥 Stock Data Input'!N24</f>
        <v/>
      </c>
      <c r="E37" s="42">
        <f>'📊 Stock Analysis'!K24</f>
        <v/>
      </c>
      <c r="F37" s="42">
        <f>'📊 Stock Analysis'!L24</f>
        <v/>
      </c>
      <c r="G37" s="42">
        <f>IFERROR(IF('📥 Stock Data Input'!A24="","",IF('📥 Stock Data Input'!M24&lt;-0.3,"🔴 HIGH",IF(OR('📥 Stock Data Input'!M24&lt;0,'📥 Stock Data Input'!K24&lt;5000),"🟡 MEDIUM","🔵 LOW"))),"")</f>
        <v/>
      </c>
      <c r="H37" s="43">
        <f>'📊 Stock Analysis'!M24</f>
        <v/>
      </c>
    </row>
    <row r="38" ht="16.5" customHeight="1" s="59">
      <c r="A38" s="44">
        <f>'📥 Stock Data Input'!A25</f>
        <v/>
      </c>
      <c r="B38" s="34">
        <f>'📥 Stock Data Input'!K25</f>
        <v/>
      </c>
      <c r="C38" s="35">
        <f>'📥 Stock Data Input'!M25</f>
        <v/>
      </c>
      <c r="D38" s="35">
        <f>'📥 Stock Data Input'!N25</f>
        <v/>
      </c>
      <c r="E38" s="46">
        <f>'📊 Stock Analysis'!K25</f>
        <v/>
      </c>
      <c r="F38" s="46">
        <f>'📊 Stock Analysis'!L25</f>
        <v/>
      </c>
      <c r="G38" s="46">
        <f>IFERROR(IF('📥 Stock Data Input'!A25="","",IF('📥 Stock Data Input'!M25&lt;-0.3,"🔴 HIGH",IF(OR('📥 Stock Data Input'!M25&lt;0,'📥 Stock Data Input'!K25&lt;5000),"🟡 MEDIUM","🔵 LOW"))),"")</f>
        <v/>
      </c>
      <c r="H38" s="47">
        <f>'📊 Stock Analysis'!M25</f>
        <v/>
      </c>
    </row>
    <row r="39" ht="16.5" customHeight="1" s="59">
      <c r="A39" s="73">
        <f>'📥 Stock Data Input'!A26</f>
        <v/>
      </c>
      <c r="B39" s="27">
        <f>'📥 Stock Data Input'!K26</f>
        <v/>
      </c>
      <c r="C39" s="28">
        <f>'📥 Stock Data Input'!M26</f>
        <v/>
      </c>
      <c r="D39" s="28">
        <f>'📥 Stock Data Input'!N26</f>
        <v/>
      </c>
      <c r="E39" s="42">
        <f>'📊 Stock Analysis'!K26</f>
        <v/>
      </c>
      <c r="F39" s="42">
        <f>'📊 Stock Analysis'!L26</f>
        <v/>
      </c>
      <c r="G39" s="42">
        <f>IFERROR(IF('📥 Stock Data Input'!A26="","",IF('📥 Stock Data Input'!M26&lt;-0.3,"🔴 HIGH",IF(OR('📥 Stock Data Input'!M26&lt;0,'📥 Stock Data Input'!K26&lt;5000),"🟡 MEDIUM","🔵 LOW"))),"")</f>
        <v/>
      </c>
      <c r="H39" s="43">
        <f>'📊 Stock Analysis'!M26</f>
        <v/>
      </c>
    </row>
    <row r="40" ht="16.5" customHeight="1" s="59">
      <c r="A40" s="44">
        <f>'📥 Stock Data Input'!A27</f>
        <v/>
      </c>
      <c r="B40" s="34">
        <f>'📥 Stock Data Input'!K27</f>
        <v/>
      </c>
      <c r="C40" s="35">
        <f>'📥 Stock Data Input'!M27</f>
        <v/>
      </c>
      <c r="D40" s="35">
        <f>'📥 Stock Data Input'!N27</f>
        <v/>
      </c>
      <c r="E40" s="46">
        <f>'📊 Stock Analysis'!K27</f>
        <v/>
      </c>
      <c r="F40" s="46">
        <f>'📊 Stock Analysis'!L27</f>
        <v/>
      </c>
      <c r="G40" s="46">
        <f>IFERROR(IF('📥 Stock Data Input'!A27="","",IF('📥 Stock Data Input'!M27&lt;-0.3,"🔴 HIGH",IF(OR('📥 Stock Data Input'!M27&lt;0,'📥 Stock Data Input'!K27&lt;5000),"🟡 MEDIUM","🔵 LOW"))),"")</f>
        <v/>
      </c>
      <c r="H40" s="47">
        <f>'📊 Stock Analysis'!M27</f>
        <v/>
      </c>
    </row>
    <row r="41" ht="16.5" customHeight="1" s="59">
      <c r="A41" s="73">
        <f>'📥 Stock Data Input'!A28</f>
        <v/>
      </c>
      <c r="B41" s="27">
        <f>'📥 Stock Data Input'!K28</f>
        <v/>
      </c>
      <c r="C41" s="28">
        <f>'📥 Stock Data Input'!M28</f>
        <v/>
      </c>
      <c r="D41" s="28">
        <f>'📥 Stock Data Input'!N28</f>
        <v/>
      </c>
      <c r="E41" s="42">
        <f>'📊 Stock Analysis'!K28</f>
        <v/>
      </c>
      <c r="F41" s="42">
        <f>'📊 Stock Analysis'!L28</f>
        <v/>
      </c>
      <c r="G41" s="42">
        <f>IFERROR(IF('📥 Stock Data Input'!A28="","",IF('📥 Stock Data Input'!M28&lt;-0.3,"🔴 HIGH",IF(OR('📥 Stock Data Input'!M28&lt;0,'📥 Stock Data Input'!K28&lt;5000),"🟡 MEDIUM","🔵 LOW"))),"")</f>
        <v/>
      </c>
      <c r="H41" s="43">
        <f>'📊 Stock Analysis'!M28</f>
        <v/>
      </c>
    </row>
    <row r="42" ht="16.5" customHeight="1" s="59">
      <c r="A42" s="44">
        <f>'📥 Stock Data Input'!A29</f>
        <v/>
      </c>
      <c r="B42" s="34">
        <f>'📥 Stock Data Input'!K29</f>
        <v/>
      </c>
      <c r="C42" s="35">
        <f>'📥 Stock Data Input'!M29</f>
        <v/>
      </c>
      <c r="D42" s="35">
        <f>'📥 Stock Data Input'!N29</f>
        <v/>
      </c>
      <c r="E42" s="46">
        <f>'📊 Stock Analysis'!K29</f>
        <v/>
      </c>
      <c r="F42" s="46">
        <f>'📊 Stock Analysis'!L29</f>
        <v/>
      </c>
      <c r="G42" s="46">
        <f>IFERROR(IF('📥 Stock Data Input'!A29="","",IF('📥 Stock Data Input'!M29&lt;-0.3,"🔴 HIGH",IF(OR('📥 Stock Data Input'!M29&lt;0,'📥 Stock Data Input'!K29&lt;5000),"🟡 MEDIUM","🔵 LOW"))),"")</f>
        <v/>
      </c>
      <c r="H42" s="47">
        <f>'📊 Stock Analysis'!M29</f>
        <v/>
      </c>
    </row>
    <row r="43" ht="16.5" customHeight="1" s="59">
      <c r="A43" s="73">
        <f>'📥 Stock Data Input'!A30</f>
        <v/>
      </c>
      <c r="B43" s="27">
        <f>'📥 Stock Data Input'!K30</f>
        <v/>
      </c>
      <c r="C43" s="28">
        <f>'📥 Stock Data Input'!M30</f>
        <v/>
      </c>
      <c r="D43" s="28">
        <f>'📥 Stock Data Input'!N30</f>
        <v/>
      </c>
      <c r="E43" s="42">
        <f>'📊 Stock Analysis'!K30</f>
        <v/>
      </c>
      <c r="F43" s="42">
        <f>'📊 Stock Analysis'!L30</f>
        <v/>
      </c>
      <c r="G43" s="42">
        <f>IFERROR(IF('📥 Stock Data Input'!A30="","",IF('📥 Stock Data Input'!M30&lt;-0.3,"🔴 HIGH",IF(OR('📥 Stock Data Input'!M30&lt;0,'📥 Stock Data Input'!K30&lt;5000),"🟡 MEDIUM","🔵 LOW"))),"")</f>
        <v/>
      </c>
      <c r="H43" s="43">
        <f>'📊 Stock Analysis'!M30</f>
        <v/>
      </c>
    </row>
    <row r="44" ht="16.5" customHeight="1" s="59">
      <c r="A44" s="44">
        <f>'📥 Stock Data Input'!A31</f>
        <v/>
      </c>
      <c r="B44" s="34">
        <f>'📥 Stock Data Input'!K31</f>
        <v/>
      </c>
      <c r="C44" s="35">
        <f>'📥 Stock Data Input'!M31</f>
        <v/>
      </c>
      <c r="D44" s="35">
        <f>'📥 Stock Data Input'!N31</f>
        <v/>
      </c>
      <c r="E44" s="46">
        <f>'📊 Stock Analysis'!K31</f>
        <v/>
      </c>
      <c r="F44" s="46">
        <f>'📊 Stock Analysis'!L31</f>
        <v/>
      </c>
      <c r="G44" s="46">
        <f>IFERROR(IF('📥 Stock Data Input'!A31="","",IF('📥 Stock Data Input'!M31&lt;-0.3,"🔴 HIGH",IF(OR('📥 Stock Data Input'!M31&lt;0,'📥 Stock Data Input'!K31&lt;5000),"🟡 MEDIUM","🔵 LOW"))),"")</f>
        <v/>
      </c>
      <c r="H44" s="47">
        <f>'📊 Stock Analysis'!M31</f>
        <v/>
      </c>
    </row>
    <row r="45" ht="16.5" customHeight="1" s="59">
      <c r="A45" s="73">
        <f>'📥 Stock Data Input'!A32</f>
        <v/>
      </c>
      <c r="B45" s="27">
        <f>'📥 Stock Data Input'!K32</f>
        <v/>
      </c>
      <c r="C45" s="28">
        <f>'📥 Stock Data Input'!M32</f>
        <v/>
      </c>
      <c r="D45" s="28">
        <f>'📥 Stock Data Input'!N32</f>
        <v/>
      </c>
      <c r="E45" s="42">
        <f>'📊 Stock Analysis'!K32</f>
        <v/>
      </c>
      <c r="F45" s="42">
        <f>'📊 Stock Analysis'!L32</f>
        <v/>
      </c>
      <c r="G45" s="42">
        <f>IFERROR(IF('📥 Stock Data Input'!A32="","",IF('📥 Stock Data Input'!M32&lt;-0.3,"🔴 HIGH",IF(OR('📥 Stock Data Input'!M32&lt;0,'📥 Stock Data Input'!K32&lt;5000),"🟡 MEDIUM","🔵 LOW"))),"")</f>
        <v/>
      </c>
      <c r="H45" s="43">
        <f>'📊 Stock Analysis'!M32</f>
        <v/>
      </c>
    </row>
    <row r="46" ht="16.5" customHeight="1" s="59">
      <c r="A46" s="44">
        <f>'📥 Stock Data Input'!A33</f>
        <v/>
      </c>
      <c r="B46" s="34">
        <f>'📥 Stock Data Input'!K33</f>
        <v/>
      </c>
      <c r="C46" s="35">
        <f>'📥 Stock Data Input'!M33</f>
        <v/>
      </c>
      <c r="D46" s="35">
        <f>'📥 Stock Data Input'!N33</f>
        <v/>
      </c>
      <c r="E46" s="46">
        <f>'📊 Stock Analysis'!K33</f>
        <v/>
      </c>
      <c r="F46" s="46">
        <f>'📊 Stock Analysis'!L33</f>
        <v/>
      </c>
      <c r="G46" s="46">
        <f>IFERROR(IF('📥 Stock Data Input'!A33="","",IF('📥 Stock Data Input'!M33&lt;-0.3,"🔴 HIGH",IF(OR('📥 Stock Data Input'!M33&lt;0,'📥 Stock Data Input'!K33&lt;5000),"🟡 MEDIUM","🔵 LOW"))),"")</f>
        <v/>
      </c>
      <c r="H46" s="47">
        <f>'📊 Stock Analysis'!M33</f>
        <v/>
      </c>
    </row>
    <row r="47" ht="16.5" customHeight="1" s="59">
      <c r="A47" s="73">
        <f>'📥 Stock Data Input'!A34</f>
        <v/>
      </c>
      <c r="B47" s="27">
        <f>'📥 Stock Data Input'!K34</f>
        <v/>
      </c>
      <c r="C47" s="28">
        <f>'📥 Stock Data Input'!M34</f>
        <v/>
      </c>
      <c r="D47" s="28">
        <f>'📥 Stock Data Input'!N34</f>
        <v/>
      </c>
      <c r="E47" s="42">
        <f>'📊 Stock Analysis'!K34</f>
        <v/>
      </c>
      <c r="F47" s="42">
        <f>'📊 Stock Analysis'!L34</f>
        <v/>
      </c>
      <c r="G47" s="42">
        <f>IFERROR(IF('📥 Stock Data Input'!A34="","",IF('📥 Stock Data Input'!M34&lt;-0.3,"🔴 HIGH",IF(OR('📥 Stock Data Input'!M34&lt;0,'📥 Stock Data Input'!K34&lt;5000),"🟡 MEDIUM","🔵 LOW"))),"")</f>
        <v/>
      </c>
      <c r="H47" s="43">
        <f>'📊 Stock Analysis'!M34</f>
        <v/>
      </c>
    </row>
    <row r="48" ht="16.5" customHeight="1" s="59">
      <c r="A48" s="44">
        <f>'📥 Stock Data Input'!A35</f>
        <v/>
      </c>
      <c r="B48" s="34">
        <f>'📥 Stock Data Input'!K35</f>
        <v/>
      </c>
      <c r="C48" s="35">
        <f>'📥 Stock Data Input'!M35</f>
        <v/>
      </c>
      <c r="D48" s="35">
        <f>'📥 Stock Data Input'!N35</f>
        <v/>
      </c>
      <c r="E48" s="46">
        <f>'📊 Stock Analysis'!K35</f>
        <v/>
      </c>
      <c r="F48" s="46">
        <f>'📊 Stock Analysis'!L35</f>
        <v/>
      </c>
      <c r="G48" s="46">
        <f>IFERROR(IF('📥 Stock Data Input'!A35="","",IF('📥 Stock Data Input'!M35&lt;-0.3,"🔴 HIGH",IF(OR('📥 Stock Data Input'!M35&lt;0,'📥 Stock Data Input'!K35&lt;5000),"🟡 MEDIUM","🔵 LOW"))),"")</f>
        <v/>
      </c>
      <c r="H48" s="47">
        <f>'📊 Stock Analysis'!M35</f>
        <v/>
      </c>
    </row>
    <row r="49" ht="16.5" customHeight="1" s="59">
      <c r="A49" s="73">
        <f>'📥 Stock Data Input'!A36</f>
        <v/>
      </c>
      <c r="B49" s="27">
        <f>'📥 Stock Data Input'!K36</f>
        <v/>
      </c>
      <c r="C49" s="28">
        <f>'📥 Stock Data Input'!M36</f>
        <v/>
      </c>
      <c r="D49" s="28">
        <f>'📥 Stock Data Input'!N36</f>
        <v/>
      </c>
      <c r="E49" s="42">
        <f>'📊 Stock Analysis'!K36</f>
        <v/>
      </c>
      <c r="F49" s="42">
        <f>'📊 Stock Analysis'!L36</f>
        <v/>
      </c>
      <c r="G49" s="42">
        <f>IFERROR(IF('📥 Stock Data Input'!A36="","",IF('📥 Stock Data Input'!M36&lt;-0.3,"🔴 HIGH",IF(OR('📥 Stock Data Input'!M36&lt;0,'📥 Stock Data Input'!K36&lt;5000),"🟡 MEDIUM","🔵 LOW"))),"")</f>
        <v/>
      </c>
      <c r="H49" s="43">
        <f>'📊 Stock Analysis'!M36</f>
        <v/>
      </c>
    </row>
    <row r="50" ht="16.5" customHeight="1" s="59">
      <c r="A50" s="44">
        <f>'📥 Stock Data Input'!A37</f>
        <v/>
      </c>
      <c r="B50" s="34">
        <f>'📥 Stock Data Input'!K37</f>
        <v/>
      </c>
      <c r="C50" s="35">
        <f>'📥 Stock Data Input'!M37</f>
        <v/>
      </c>
      <c r="D50" s="35">
        <f>'📥 Stock Data Input'!N37</f>
        <v/>
      </c>
      <c r="E50" s="46">
        <f>'📊 Stock Analysis'!K37</f>
        <v/>
      </c>
      <c r="F50" s="46">
        <f>'📊 Stock Analysis'!L37</f>
        <v/>
      </c>
      <c r="G50" s="46">
        <f>IFERROR(IF('📥 Stock Data Input'!A37="","",IF('📥 Stock Data Input'!M37&lt;-0.3,"🔴 HIGH",IF(OR('📥 Stock Data Input'!M37&lt;0,'📥 Stock Data Input'!K37&lt;5000),"🟡 MEDIUM","🔵 LOW"))),"")</f>
        <v/>
      </c>
      <c r="H50" s="47">
        <f>'📊 Stock Analysis'!M37</f>
        <v/>
      </c>
    </row>
    <row r="51" ht="16.5" customHeight="1" s="59">
      <c r="A51" s="73">
        <f>'📥 Stock Data Input'!A38</f>
        <v/>
      </c>
      <c r="B51" s="27">
        <f>'📥 Stock Data Input'!K38</f>
        <v/>
      </c>
      <c r="C51" s="28">
        <f>'📥 Stock Data Input'!M38</f>
        <v/>
      </c>
      <c r="D51" s="28">
        <f>'📥 Stock Data Input'!N38</f>
        <v/>
      </c>
      <c r="E51" s="42">
        <f>'📊 Stock Analysis'!K38</f>
        <v/>
      </c>
      <c r="F51" s="42">
        <f>'📊 Stock Analysis'!L38</f>
        <v/>
      </c>
      <c r="G51" s="42">
        <f>IFERROR(IF('📥 Stock Data Input'!A38="","",IF('📥 Stock Data Input'!M38&lt;-0.3,"🔴 HIGH",IF(OR('📥 Stock Data Input'!M38&lt;0,'📥 Stock Data Input'!K38&lt;5000),"🟡 MEDIUM","🔵 LOW"))),"")</f>
        <v/>
      </c>
      <c r="H51" s="43">
        <f>'📊 Stock Analysis'!M38</f>
        <v/>
      </c>
    </row>
    <row r="52" ht="16.5" customHeight="1" s="59">
      <c r="A52" s="44">
        <f>'📥 Stock Data Input'!A39</f>
        <v/>
      </c>
      <c r="B52" s="34">
        <f>'📥 Stock Data Input'!K39</f>
        <v/>
      </c>
      <c r="C52" s="35">
        <f>'📥 Stock Data Input'!M39</f>
        <v/>
      </c>
      <c r="D52" s="35">
        <f>'📥 Stock Data Input'!N39</f>
        <v/>
      </c>
      <c r="E52" s="46">
        <f>'📊 Stock Analysis'!K39</f>
        <v/>
      </c>
      <c r="F52" s="46">
        <f>'📊 Stock Analysis'!L39</f>
        <v/>
      </c>
      <c r="G52" s="46">
        <f>IFERROR(IF('📥 Stock Data Input'!A39="","",IF('📥 Stock Data Input'!M39&lt;-0.3,"🔴 HIGH",IF(OR('📥 Stock Data Input'!M39&lt;0,'📥 Stock Data Input'!K39&lt;5000),"🟡 MEDIUM","🔵 LOW"))),"")</f>
        <v/>
      </c>
      <c r="H52" s="47">
        <f>'📊 Stock Analysis'!M39</f>
        <v/>
      </c>
    </row>
    <row r="53" ht="16.5" customHeight="1" s="59">
      <c r="A53" s="73">
        <f>'📥 Stock Data Input'!A40</f>
        <v/>
      </c>
      <c r="B53" s="27">
        <f>'📥 Stock Data Input'!K40</f>
        <v/>
      </c>
      <c r="C53" s="28">
        <f>'📥 Stock Data Input'!M40</f>
        <v/>
      </c>
      <c r="D53" s="28">
        <f>'📥 Stock Data Input'!N40</f>
        <v/>
      </c>
      <c r="E53" s="42">
        <f>'📊 Stock Analysis'!K40</f>
        <v/>
      </c>
      <c r="F53" s="42">
        <f>'📊 Stock Analysis'!L40</f>
        <v/>
      </c>
      <c r="G53" s="42">
        <f>IFERROR(IF('📥 Stock Data Input'!A40="","",IF('📥 Stock Data Input'!M40&lt;-0.3,"🔴 HIGH",IF(OR('📥 Stock Data Input'!M40&lt;0,'📥 Stock Data Input'!K40&lt;5000),"🟡 MEDIUM","🔵 LOW"))),"")</f>
        <v/>
      </c>
      <c r="H53" s="43">
        <f>'📊 Stock Analysis'!M40</f>
        <v/>
      </c>
    </row>
    <row r="54" ht="16.5" customHeight="1" s="59">
      <c r="A54" s="44">
        <f>'📥 Stock Data Input'!A41</f>
        <v/>
      </c>
      <c r="B54" s="34">
        <f>'📥 Stock Data Input'!K41</f>
        <v/>
      </c>
      <c r="C54" s="35">
        <f>'📥 Stock Data Input'!M41</f>
        <v/>
      </c>
      <c r="D54" s="35">
        <f>'📥 Stock Data Input'!N41</f>
        <v/>
      </c>
      <c r="E54" s="46">
        <f>'📊 Stock Analysis'!K41</f>
        <v/>
      </c>
      <c r="F54" s="46">
        <f>'📊 Stock Analysis'!L41</f>
        <v/>
      </c>
      <c r="G54" s="46">
        <f>IFERROR(IF('📥 Stock Data Input'!A41="","",IF('📥 Stock Data Input'!M41&lt;-0.3,"🔴 HIGH",IF(OR('📥 Stock Data Input'!M41&lt;0,'📥 Stock Data Input'!K41&lt;5000),"🟡 MEDIUM","🔵 LOW"))),"")</f>
        <v/>
      </c>
      <c r="H54" s="47">
        <f>'📊 Stock Analysis'!M41</f>
        <v/>
      </c>
    </row>
    <row r="55" ht="16.5" customHeight="1" s="59">
      <c r="A55" s="73">
        <f>'📥 Stock Data Input'!A42</f>
        <v/>
      </c>
      <c r="B55" s="27">
        <f>'📥 Stock Data Input'!K42</f>
        <v/>
      </c>
      <c r="C55" s="28">
        <f>'📥 Stock Data Input'!M42</f>
        <v/>
      </c>
      <c r="D55" s="28">
        <f>'📥 Stock Data Input'!N42</f>
        <v/>
      </c>
      <c r="E55" s="42">
        <f>'📊 Stock Analysis'!K42</f>
        <v/>
      </c>
      <c r="F55" s="42">
        <f>'📊 Stock Analysis'!L42</f>
        <v/>
      </c>
      <c r="G55" s="42">
        <f>IFERROR(IF('📥 Stock Data Input'!A42="","",IF('📥 Stock Data Input'!M42&lt;-0.3,"🔴 HIGH",IF(OR('📥 Stock Data Input'!M42&lt;0,'📥 Stock Data Input'!K42&lt;5000),"🟡 MEDIUM","🔵 LOW"))),"")</f>
        <v/>
      </c>
      <c r="H55" s="43">
        <f>'📊 Stock Analysis'!M42</f>
        <v/>
      </c>
    </row>
    <row r="56" ht="16.5" customHeight="1" s="59">
      <c r="A56" s="44">
        <f>'📥 Stock Data Input'!A43</f>
        <v/>
      </c>
      <c r="B56" s="34">
        <f>'📥 Stock Data Input'!K43</f>
        <v/>
      </c>
      <c r="C56" s="35">
        <f>'📥 Stock Data Input'!M43</f>
        <v/>
      </c>
      <c r="D56" s="35">
        <f>'📥 Stock Data Input'!N43</f>
        <v/>
      </c>
      <c r="E56" s="46">
        <f>'📊 Stock Analysis'!K43</f>
        <v/>
      </c>
      <c r="F56" s="46">
        <f>'📊 Stock Analysis'!L43</f>
        <v/>
      </c>
      <c r="G56" s="46">
        <f>IFERROR(IF('📥 Stock Data Input'!A43="","",IF('📥 Stock Data Input'!M43&lt;-0.3,"🔴 HIGH",IF(OR('📥 Stock Data Input'!M43&lt;0,'📥 Stock Data Input'!K43&lt;5000),"🟡 MEDIUM","🔵 LOW"))),"")</f>
        <v/>
      </c>
      <c r="H56" s="47">
        <f>'📊 Stock Analysis'!M43</f>
        <v/>
      </c>
    </row>
    <row r="57" ht="16.5" customHeight="1" s="59">
      <c r="A57" s="73">
        <f>'📥 Stock Data Input'!A44</f>
        <v/>
      </c>
      <c r="B57" s="27">
        <f>'📥 Stock Data Input'!K44</f>
        <v/>
      </c>
      <c r="C57" s="28">
        <f>'📥 Stock Data Input'!M44</f>
        <v/>
      </c>
      <c r="D57" s="28">
        <f>'📥 Stock Data Input'!N44</f>
        <v/>
      </c>
      <c r="E57" s="42">
        <f>'📊 Stock Analysis'!K44</f>
        <v/>
      </c>
      <c r="F57" s="42">
        <f>'📊 Stock Analysis'!L44</f>
        <v/>
      </c>
      <c r="G57" s="42">
        <f>IFERROR(IF('📥 Stock Data Input'!A44="","",IF('📥 Stock Data Input'!M44&lt;-0.3,"🔴 HIGH",IF(OR('📥 Stock Data Input'!M44&lt;0,'📥 Stock Data Input'!K44&lt;5000),"🟡 MEDIUM","🔵 LOW"))),"")</f>
        <v/>
      </c>
      <c r="H57" s="43">
        <f>'📊 Stock Analysis'!M44</f>
        <v/>
      </c>
    </row>
    <row r="58" ht="16.5" customHeight="1" s="59">
      <c r="A58" s="44">
        <f>'📥 Stock Data Input'!A45</f>
        <v/>
      </c>
      <c r="B58" s="34">
        <f>'📥 Stock Data Input'!K45</f>
        <v/>
      </c>
      <c r="C58" s="35">
        <f>'📥 Stock Data Input'!M45</f>
        <v/>
      </c>
      <c r="D58" s="35">
        <f>'📥 Stock Data Input'!N45</f>
        <v/>
      </c>
      <c r="E58" s="46">
        <f>'📊 Stock Analysis'!K45</f>
        <v/>
      </c>
      <c r="F58" s="46">
        <f>'📊 Stock Analysis'!L45</f>
        <v/>
      </c>
      <c r="G58" s="46">
        <f>IFERROR(IF('📥 Stock Data Input'!A45="","",IF('📥 Stock Data Input'!M45&lt;-0.3,"🔴 HIGH",IF(OR('📥 Stock Data Input'!M45&lt;0,'📥 Stock Data Input'!K45&lt;5000),"🟡 MEDIUM","🔵 LOW"))),"")</f>
        <v/>
      </c>
      <c r="H58" s="47">
        <f>'📊 Stock Analysis'!M45</f>
        <v/>
      </c>
    </row>
    <row r="59" ht="16.5" customHeight="1" s="59">
      <c r="A59" s="73">
        <f>'📥 Stock Data Input'!A46</f>
        <v/>
      </c>
      <c r="B59" s="27">
        <f>'📥 Stock Data Input'!K46</f>
        <v/>
      </c>
      <c r="C59" s="28">
        <f>'📥 Stock Data Input'!M46</f>
        <v/>
      </c>
      <c r="D59" s="28">
        <f>'📥 Stock Data Input'!N46</f>
        <v/>
      </c>
      <c r="E59" s="42">
        <f>'📊 Stock Analysis'!K46</f>
        <v/>
      </c>
      <c r="F59" s="42">
        <f>'📊 Stock Analysis'!L46</f>
        <v/>
      </c>
      <c r="G59" s="42">
        <f>IFERROR(IF('📥 Stock Data Input'!A46="","",IF('📥 Stock Data Input'!M46&lt;-0.3,"🔴 HIGH",IF(OR('📥 Stock Data Input'!M46&lt;0,'📥 Stock Data Input'!K46&lt;5000),"🟡 MEDIUM","🔵 LOW"))),"")</f>
        <v/>
      </c>
      <c r="H59" s="43">
        <f>'📊 Stock Analysis'!M46</f>
        <v/>
      </c>
    </row>
    <row r="60" ht="16.5" customHeight="1" s="59">
      <c r="A60" s="44">
        <f>'📥 Stock Data Input'!A47</f>
        <v/>
      </c>
      <c r="B60" s="34">
        <f>'📥 Stock Data Input'!K47</f>
        <v/>
      </c>
      <c r="C60" s="35">
        <f>'📥 Stock Data Input'!M47</f>
        <v/>
      </c>
      <c r="D60" s="35">
        <f>'📥 Stock Data Input'!N47</f>
        <v/>
      </c>
      <c r="E60" s="46">
        <f>'📊 Stock Analysis'!K47</f>
        <v/>
      </c>
      <c r="F60" s="46">
        <f>'📊 Stock Analysis'!L47</f>
        <v/>
      </c>
      <c r="G60" s="46">
        <f>IFERROR(IF('📥 Stock Data Input'!A47="","",IF('📥 Stock Data Input'!M47&lt;-0.3,"🔴 HIGH",IF(OR('📥 Stock Data Input'!M47&lt;0,'📥 Stock Data Input'!K47&lt;5000),"🟡 MEDIUM","🔵 LOW"))),"")</f>
        <v/>
      </c>
      <c r="H60" s="47">
        <f>'📊 Stock Analysis'!M47</f>
        <v/>
      </c>
    </row>
    <row r="61" ht="16.5" customHeight="1" s="59">
      <c r="A61" s="73">
        <f>'📥 Stock Data Input'!A48</f>
        <v/>
      </c>
      <c r="B61" s="27">
        <f>'📥 Stock Data Input'!K48</f>
        <v/>
      </c>
      <c r="C61" s="28">
        <f>'📥 Stock Data Input'!M48</f>
        <v/>
      </c>
      <c r="D61" s="28">
        <f>'📥 Stock Data Input'!N48</f>
        <v/>
      </c>
      <c r="E61" s="42">
        <f>'📊 Stock Analysis'!K48</f>
        <v/>
      </c>
      <c r="F61" s="42">
        <f>'📊 Stock Analysis'!L48</f>
        <v/>
      </c>
      <c r="G61" s="42">
        <f>IFERROR(IF('📥 Stock Data Input'!A48="","",IF('📥 Stock Data Input'!M48&lt;-0.3,"🔴 HIGH",IF(OR('📥 Stock Data Input'!M48&lt;0,'📥 Stock Data Input'!K48&lt;5000),"🟡 MEDIUM","🔵 LOW"))),"")</f>
        <v/>
      </c>
      <c r="H61" s="43">
        <f>'📊 Stock Analysis'!M48</f>
        <v/>
      </c>
    </row>
    <row r="62" ht="16.5" customHeight="1" s="59">
      <c r="A62" s="44">
        <f>'📥 Stock Data Input'!A49</f>
        <v/>
      </c>
      <c r="B62" s="34">
        <f>'📥 Stock Data Input'!K49</f>
        <v/>
      </c>
      <c r="C62" s="35">
        <f>'📥 Stock Data Input'!M49</f>
        <v/>
      </c>
      <c r="D62" s="35">
        <f>'📥 Stock Data Input'!N49</f>
        <v/>
      </c>
      <c r="E62" s="46">
        <f>'📊 Stock Analysis'!K49</f>
        <v/>
      </c>
      <c r="F62" s="46">
        <f>'📊 Stock Analysis'!L49</f>
        <v/>
      </c>
      <c r="G62" s="46">
        <f>IFERROR(IF('📥 Stock Data Input'!A49="","",IF('📥 Stock Data Input'!M49&lt;-0.3,"🔴 HIGH",IF(OR('📥 Stock Data Input'!M49&lt;0,'📥 Stock Data Input'!K49&lt;5000),"🟡 MEDIUM","🔵 LOW"))),"")</f>
        <v/>
      </c>
      <c r="H62" s="47">
        <f>'📊 Stock Analysis'!M49</f>
        <v/>
      </c>
    </row>
    <row r="63" ht="16.5" customHeight="1" s="59">
      <c r="A63" s="73">
        <f>'📥 Stock Data Input'!A50</f>
        <v/>
      </c>
      <c r="B63" s="27">
        <f>'📥 Stock Data Input'!K50</f>
        <v/>
      </c>
      <c r="C63" s="28">
        <f>'📥 Stock Data Input'!M50</f>
        <v/>
      </c>
      <c r="D63" s="28">
        <f>'📥 Stock Data Input'!N50</f>
        <v/>
      </c>
      <c r="E63" s="42">
        <f>'📊 Stock Analysis'!K50</f>
        <v/>
      </c>
      <c r="F63" s="42">
        <f>'📊 Stock Analysis'!L50</f>
        <v/>
      </c>
      <c r="G63" s="42">
        <f>IFERROR(IF('📥 Stock Data Input'!A50="","",IF('📥 Stock Data Input'!M50&lt;-0.3,"🔴 HIGH",IF(OR('📥 Stock Data Input'!M50&lt;0,'📥 Stock Data Input'!K50&lt;5000),"🟡 MEDIUM","🔵 LOW"))),"")</f>
        <v/>
      </c>
      <c r="H63" s="43">
        <f>'📊 Stock Analysis'!M50</f>
        <v/>
      </c>
    </row>
    <row r="64" ht="16.5" customHeight="1" s="59">
      <c r="A64" s="44">
        <f>'📥 Stock Data Input'!A51</f>
        <v/>
      </c>
      <c r="B64" s="34">
        <f>'📥 Stock Data Input'!K51</f>
        <v/>
      </c>
      <c r="C64" s="35">
        <f>'📥 Stock Data Input'!M51</f>
        <v/>
      </c>
      <c r="D64" s="35">
        <f>'📥 Stock Data Input'!N51</f>
        <v/>
      </c>
      <c r="E64" s="46">
        <f>'📊 Stock Analysis'!K51</f>
        <v/>
      </c>
      <c r="F64" s="46">
        <f>'📊 Stock Analysis'!L51</f>
        <v/>
      </c>
      <c r="G64" s="46">
        <f>IFERROR(IF('📥 Stock Data Input'!A51="","",IF('📥 Stock Data Input'!M51&lt;-0.3,"🔴 HIGH",IF(OR('📥 Stock Data Input'!M51&lt;0,'📥 Stock Data Input'!K51&lt;5000),"🟡 MEDIUM","🔵 LOW"))),"")</f>
        <v/>
      </c>
      <c r="H64" s="47">
        <f>'📊 Stock Analysis'!M51</f>
        <v/>
      </c>
    </row>
    <row r="65" ht="16.5" customHeight="1" s="59">
      <c r="A65" s="73">
        <f>'📥 Stock Data Input'!A52</f>
        <v/>
      </c>
      <c r="B65" s="27">
        <f>'📥 Stock Data Input'!K52</f>
        <v/>
      </c>
      <c r="C65" s="28">
        <f>'📥 Stock Data Input'!M52</f>
        <v/>
      </c>
      <c r="D65" s="28">
        <f>'📥 Stock Data Input'!N52</f>
        <v/>
      </c>
      <c r="E65" s="42">
        <f>'📊 Stock Analysis'!K52</f>
        <v/>
      </c>
      <c r="F65" s="42">
        <f>'📊 Stock Analysis'!L52</f>
        <v/>
      </c>
      <c r="G65" s="42">
        <f>IFERROR(IF('📥 Stock Data Input'!A52="","",IF('📥 Stock Data Input'!M52&lt;-0.3,"🔴 HIGH",IF(OR('📥 Stock Data Input'!M52&lt;0,'📥 Stock Data Input'!K52&lt;5000),"🟡 MEDIUM","🔵 LOW"))),"")</f>
        <v/>
      </c>
      <c r="H65" s="43">
        <f>'📊 Stock Analysis'!M52</f>
        <v/>
      </c>
    </row>
    <row r="66" ht="16.5" customHeight="1" s="59">
      <c r="A66" s="44">
        <f>'📥 Stock Data Input'!A53</f>
        <v/>
      </c>
      <c r="B66" s="34">
        <f>'📥 Stock Data Input'!K53</f>
        <v/>
      </c>
      <c r="C66" s="35">
        <f>'📥 Stock Data Input'!M53</f>
        <v/>
      </c>
      <c r="D66" s="35">
        <f>'📥 Stock Data Input'!N53</f>
        <v/>
      </c>
      <c r="E66" s="46">
        <f>'📊 Stock Analysis'!K53</f>
        <v/>
      </c>
      <c r="F66" s="46">
        <f>'📊 Stock Analysis'!L53</f>
        <v/>
      </c>
      <c r="G66" s="46">
        <f>IFERROR(IF('📥 Stock Data Input'!A53="","",IF('📥 Stock Data Input'!M53&lt;-0.3,"🔴 HIGH",IF(OR('📥 Stock Data Input'!M53&lt;0,'📥 Stock Data Input'!K53&lt;5000),"🟡 MEDIUM","🔵 LOW"))),"")</f>
        <v/>
      </c>
      <c r="H66" s="47">
        <f>'📊 Stock Analysis'!M53</f>
        <v/>
      </c>
    </row>
    <row r="67" ht="16.5" customHeight="1" s="59">
      <c r="A67" s="73">
        <f>'📥 Stock Data Input'!A54</f>
        <v/>
      </c>
      <c r="B67" s="27">
        <f>'📥 Stock Data Input'!K54</f>
        <v/>
      </c>
      <c r="C67" s="28">
        <f>'📥 Stock Data Input'!M54</f>
        <v/>
      </c>
      <c r="D67" s="28">
        <f>'📥 Stock Data Input'!N54</f>
        <v/>
      </c>
      <c r="E67" s="42">
        <f>'📊 Stock Analysis'!K54</f>
        <v/>
      </c>
      <c r="F67" s="42">
        <f>'📊 Stock Analysis'!L54</f>
        <v/>
      </c>
      <c r="G67" s="42">
        <f>IFERROR(IF('📥 Stock Data Input'!A54="","",IF('📥 Stock Data Input'!M54&lt;-0.3,"🔴 HIGH",IF(OR('📥 Stock Data Input'!M54&lt;0,'📥 Stock Data Input'!K54&lt;5000),"🟡 MEDIUM","🔵 LOW"))),"")</f>
        <v/>
      </c>
      <c r="H67" s="43">
        <f>'📊 Stock Analysis'!M54</f>
        <v/>
      </c>
    </row>
    <row r="68" ht="14.25" customHeight="1" s="59"/>
    <row r="69" ht="21.75" customHeight="1" s="59">
      <c r="A69" s="72" t="inlineStr">
        <is>
          <t>DETAILED ACTION FLAGS — MUTUAL FUNDS</t>
        </is>
      </c>
    </row>
    <row r="70" ht="24" customHeight="1" s="59">
      <c r="A70" s="21" t="inlineStr">
        <is>
          <t>Fund Name</t>
        </is>
      </c>
      <c r="B70" s="21" t="inlineStr">
        <is>
          <t>AMC</t>
        </is>
      </c>
      <c r="C70" s="21" t="inlineStr">
        <is>
          <t>Category</t>
        </is>
      </c>
      <c r="D70" s="21" t="inlineStr">
        <is>
          <t>Current Value (₹)</t>
        </is>
      </c>
      <c r="E70" s="21" t="inlineStr">
        <is>
          <t>CAGR %</t>
        </is>
      </c>
      <c r="F70" s="21" t="inlineStr">
        <is>
          <t>Alpha vs Benchmark</t>
        </is>
      </c>
      <c r="G70" s="21" t="inlineStr">
        <is>
          <t>Signal</t>
        </is>
      </c>
      <c r="H70" s="21" t="inlineStr">
        <is>
          <t>Recommended Action</t>
        </is>
      </c>
    </row>
    <row r="71" ht="16.5" customHeight="1" s="59">
      <c r="A71" s="73">
        <f>'📥 MF Data Input'!A5</f>
        <v/>
      </c>
      <c r="B71" s="73">
        <f>'📥 MF Data Input'!B5</f>
        <v/>
      </c>
      <c r="C71" s="73">
        <f>'📥 MF Data Input'!C5</f>
        <v/>
      </c>
      <c r="D71" s="27">
        <f>'📥 MF Data Input'!L5</f>
        <v/>
      </c>
      <c r="E71" s="28">
        <f>'📊 MF Analysis'!H5</f>
        <v/>
      </c>
      <c r="F71" s="28">
        <f>'📊 MF Analysis'!J5</f>
        <v/>
      </c>
      <c r="G71" s="42">
        <f>'📊 MF Analysis'!K5</f>
        <v/>
      </c>
      <c r="H71" s="43">
        <f>'📊 MF Analysis'!L5</f>
        <v/>
      </c>
    </row>
    <row r="72" ht="16.5" customHeight="1" s="59">
      <c r="A72" s="44">
        <f>'📥 MF Data Input'!A6</f>
        <v/>
      </c>
      <c r="B72" s="44">
        <f>'📥 MF Data Input'!B6</f>
        <v/>
      </c>
      <c r="C72" s="44">
        <f>'📥 MF Data Input'!C6</f>
        <v/>
      </c>
      <c r="D72" s="34">
        <f>'📥 MF Data Input'!L6</f>
        <v/>
      </c>
      <c r="E72" s="35">
        <f>'📊 MF Analysis'!H6</f>
        <v/>
      </c>
      <c r="F72" s="35">
        <f>'📊 MF Analysis'!J6</f>
        <v/>
      </c>
      <c r="G72" s="46">
        <f>'📊 MF Analysis'!K6</f>
        <v/>
      </c>
      <c r="H72" s="47">
        <f>'📊 MF Analysis'!L6</f>
        <v/>
      </c>
    </row>
    <row r="73" ht="16.5" customHeight="1" s="59">
      <c r="A73" s="73">
        <f>'📥 MF Data Input'!A7</f>
        <v/>
      </c>
      <c r="B73" s="73">
        <f>'📥 MF Data Input'!B7</f>
        <v/>
      </c>
      <c r="C73" s="73">
        <f>'📥 MF Data Input'!C7</f>
        <v/>
      </c>
      <c r="D73" s="27">
        <f>'📥 MF Data Input'!L7</f>
        <v/>
      </c>
      <c r="E73" s="28">
        <f>'📊 MF Analysis'!H7</f>
        <v/>
      </c>
      <c r="F73" s="28">
        <f>'📊 MF Analysis'!J7</f>
        <v/>
      </c>
      <c r="G73" s="42">
        <f>'📊 MF Analysis'!K7</f>
        <v/>
      </c>
      <c r="H73" s="43">
        <f>'📊 MF Analysis'!L7</f>
        <v/>
      </c>
    </row>
    <row r="74" ht="16.5" customHeight="1" s="59">
      <c r="A74" s="44">
        <f>'📥 MF Data Input'!A8</f>
        <v/>
      </c>
      <c r="B74" s="44">
        <f>'📥 MF Data Input'!B8</f>
        <v/>
      </c>
      <c r="C74" s="44">
        <f>'📥 MF Data Input'!C8</f>
        <v/>
      </c>
      <c r="D74" s="34">
        <f>'📥 MF Data Input'!L8</f>
        <v/>
      </c>
      <c r="E74" s="35">
        <f>'📊 MF Analysis'!H8</f>
        <v/>
      </c>
      <c r="F74" s="35">
        <f>'📊 MF Analysis'!J8</f>
        <v/>
      </c>
      <c r="G74" s="46">
        <f>'📊 MF Analysis'!K8</f>
        <v/>
      </c>
      <c r="H74" s="47">
        <f>'📊 MF Analysis'!L8</f>
        <v/>
      </c>
    </row>
    <row r="75" ht="16.5" customHeight="1" s="59">
      <c r="A75" s="73">
        <f>'📥 MF Data Input'!A9</f>
        <v/>
      </c>
      <c r="B75" s="73">
        <f>'📥 MF Data Input'!B9</f>
        <v/>
      </c>
      <c r="C75" s="73">
        <f>'📥 MF Data Input'!C9</f>
        <v/>
      </c>
      <c r="D75" s="27">
        <f>'📥 MF Data Input'!L9</f>
        <v/>
      </c>
      <c r="E75" s="28">
        <f>'📊 MF Analysis'!H9</f>
        <v/>
      </c>
      <c r="F75" s="28">
        <f>'📊 MF Analysis'!J9</f>
        <v/>
      </c>
      <c r="G75" s="42">
        <f>'📊 MF Analysis'!K9</f>
        <v/>
      </c>
      <c r="H75" s="43">
        <f>'📊 MF Analysis'!L9</f>
        <v/>
      </c>
    </row>
    <row r="76" ht="16.5" customHeight="1" s="59">
      <c r="A76" s="44">
        <f>'📥 MF Data Input'!A10</f>
        <v/>
      </c>
      <c r="B76" s="44">
        <f>'📥 MF Data Input'!B10</f>
        <v/>
      </c>
      <c r="C76" s="44">
        <f>'📥 MF Data Input'!C10</f>
        <v/>
      </c>
      <c r="D76" s="34">
        <f>'📥 MF Data Input'!L10</f>
        <v/>
      </c>
      <c r="E76" s="35">
        <f>'📊 MF Analysis'!H10</f>
        <v/>
      </c>
      <c r="F76" s="35">
        <f>'📊 MF Analysis'!J10</f>
        <v/>
      </c>
      <c r="G76" s="46">
        <f>'📊 MF Analysis'!K10</f>
        <v/>
      </c>
      <c r="H76" s="47">
        <f>'📊 MF Analysis'!L10</f>
        <v/>
      </c>
    </row>
    <row r="77" ht="16.5" customHeight="1" s="59">
      <c r="A77" s="73">
        <f>'📥 MF Data Input'!A11</f>
        <v/>
      </c>
      <c r="B77" s="73">
        <f>'📥 MF Data Input'!B11</f>
        <v/>
      </c>
      <c r="C77" s="73">
        <f>'📥 MF Data Input'!C11</f>
        <v/>
      </c>
      <c r="D77" s="27">
        <f>'📥 MF Data Input'!L11</f>
        <v/>
      </c>
      <c r="E77" s="28">
        <f>'📊 MF Analysis'!H11</f>
        <v/>
      </c>
      <c r="F77" s="28">
        <f>'📊 MF Analysis'!J11</f>
        <v/>
      </c>
      <c r="G77" s="42">
        <f>'📊 MF Analysis'!K11</f>
        <v/>
      </c>
      <c r="H77" s="43">
        <f>'📊 MF Analysis'!L11</f>
        <v/>
      </c>
    </row>
    <row r="78" ht="16.5" customHeight="1" s="59">
      <c r="A78" s="44">
        <f>'📥 MF Data Input'!A12</f>
        <v/>
      </c>
      <c r="B78" s="44">
        <f>'📥 MF Data Input'!B12</f>
        <v/>
      </c>
      <c r="C78" s="44">
        <f>'📥 MF Data Input'!C12</f>
        <v/>
      </c>
      <c r="D78" s="34">
        <f>'📥 MF Data Input'!L12</f>
        <v/>
      </c>
      <c r="E78" s="35">
        <f>'📊 MF Analysis'!H12</f>
        <v/>
      </c>
      <c r="F78" s="35">
        <f>'📊 MF Analysis'!J12</f>
        <v/>
      </c>
      <c r="G78" s="46">
        <f>'📊 MF Analysis'!K12</f>
        <v/>
      </c>
      <c r="H78" s="47">
        <f>'📊 MF Analysis'!L12</f>
        <v/>
      </c>
    </row>
    <row r="79" ht="16.5" customHeight="1" s="59">
      <c r="A79" s="73">
        <f>'📥 MF Data Input'!A13</f>
        <v/>
      </c>
      <c r="B79" s="73">
        <f>'📥 MF Data Input'!B13</f>
        <v/>
      </c>
      <c r="C79" s="73">
        <f>'📥 MF Data Input'!C13</f>
        <v/>
      </c>
      <c r="D79" s="27">
        <f>'📥 MF Data Input'!L13</f>
        <v/>
      </c>
      <c r="E79" s="28">
        <f>'📊 MF Analysis'!H13</f>
        <v/>
      </c>
      <c r="F79" s="28">
        <f>'📊 MF Analysis'!J13</f>
        <v/>
      </c>
      <c r="G79" s="42">
        <f>'📊 MF Analysis'!K13</f>
        <v/>
      </c>
      <c r="H79" s="43">
        <f>'📊 MF Analysis'!L13</f>
        <v/>
      </c>
    </row>
    <row r="80" ht="16.5" customHeight="1" s="59">
      <c r="A80" s="44">
        <f>'📥 MF Data Input'!A14</f>
        <v/>
      </c>
      <c r="B80" s="44">
        <f>'📥 MF Data Input'!B14</f>
        <v/>
      </c>
      <c r="C80" s="44">
        <f>'📥 MF Data Input'!C14</f>
        <v/>
      </c>
      <c r="D80" s="34">
        <f>'📥 MF Data Input'!L14</f>
        <v/>
      </c>
      <c r="E80" s="35">
        <f>'📊 MF Analysis'!H14</f>
        <v/>
      </c>
      <c r="F80" s="35">
        <f>'📊 MF Analysis'!J14</f>
        <v/>
      </c>
      <c r="G80" s="46">
        <f>'📊 MF Analysis'!K14</f>
        <v/>
      </c>
      <c r="H80" s="47">
        <f>'📊 MF Analysis'!L14</f>
        <v/>
      </c>
    </row>
    <row r="81" ht="16.5" customHeight="1" s="59">
      <c r="A81" s="73">
        <f>'📥 MF Data Input'!A15</f>
        <v/>
      </c>
      <c r="B81" s="73">
        <f>'📥 MF Data Input'!B15</f>
        <v/>
      </c>
      <c r="C81" s="73">
        <f>'📥 MF Data Input'!C15</f>
        <v/>
      </c>
      <c r="D81" s="27">
        <f>'📥 MF Data Input'!L15</f>
        <v/>
      </c>
      <c r="E81" s="28">
        <f>'📊 MF Analysis'!H15</f>
        <v/>
      </c>
      <c r="F81" s="28">
        <f>'📊 MF Analysis'!J15</f>
        <v/>
      </c>
      <c r="G81" s="42">
        <f>'📊 MF Analysis'!K15</f>
        <v/>
      </c>
      <c r="H81" s="43">
        <f>'📊 MF Analysis'!L15</f>
        <v/>
      </c>
    </row>
    <row r="82" ht="16.5" customHeight="1" s="59">
      <c r="A82" s="44">
        <f>'📥 MF Data Input'!A16</f>
        <v/>
      </c>
      <c r="B82" s="44">
        <f>'📥 MF Data Input'!B16</f>
        <v/>
      </c>
      <c r="C82" s="44">
        <f>'📥 MF Data Input'!C16</f>
        <v/>
      </c>
      <c r="D82" s="34">
        <f>'📥 MF Data Input'!L16</f>
        <v/>
      </c>
      <c r="E82" s="35">
        <f>'📊 MF Analysis'!H16</f>
        <v/>
      </c>
      <c r="F82" s="35">
        <f>'📊 MF Analysis'!J16</f>
        <v/>
      </c>
      <c r="G82" s="46">
        <f>'📊 MF Analysis'!K16</f>
        <v/>
      </c>
      <c r="H82" s="47">
        <f>'📊 MF Analysis'!L16</f>
        <v/>
      </c>
    </row>
    <row r="83" ht="16.5" customHeight="1" s="59">
      <c r="A83" s="73">
        <f>'📥 MF Data Input'!A17</f>
        <v/>
      </c>
      <c r="B83" s="73">
        <f>'📥 MF Data Input'!B17</f>
        <v/>
      </c>
      <c r="C83" s="73">
        <f>'📥 MF Data Input'!C17</f>
        <v/>
      </c>
      <c r="D83" s="27">
        <f>'📥 MF Data Input'!L17</f>
        <v/>
      </c>
      <c r="E83" s="28">
        <f>'📊 MF Analysis'!H17</f>
        <v/>
      </c>
      <c r="F83" s="28">
        <f>'📊 MF Analysis'!J17</f>
        <v/>
      </c>
      <c r="G83" s="42">
        <f>'📊 MF Analysis'!K17</f>
        <v/>
      </c>
      <c r="H83" s="43">
        <f>'📊 MF Analysis'!L17</f>
        <v/>
      </c>
    </row>
    <row r="84" ht="16.5" customHeight="1" s="59">
      <c r="A84" s="44">
        <f>'📥 MF Data Input'!A18</f>
        <v/>
      </c>
      <c r="B84" s="44">
        <f>'📥 MF Data Input'!B18</f>
        <v/>
      </c>
      <c r="C84" s="44">
        <f>'📥 MF Data Input'!C18</f>
        <v/>
      </c>
      <c r="D84" s="34">
        <f>'📥 MF Data Input'!L18</f>
        <v/>
      </c>
      <c r="E84" s="35">
        <f>'📊 MF Analysis'!H18</f>
        <v/>
      </c>
      <c r="F84" s="35">
        <f>'📊 MF Analysis'!J18</f>
        <v/>
      </c>
      <c r="G84" s="46">
        <f>'📊 MF Analysis'!K18</f>
        <v/>
      </c>
      <c r="H84" s="47">
        <f>'📊 MF Analysis'!L18</f>
        <v/>
      </c>
    </row>
    <row r="85" ht="16.5" customHeight="1" s="59">
      <c r="A85" s="73">
        <f>'📥 MF Data Input'!A19</f>
        <v/>
      </c>
      <c r="B85" s="73">
        <f>'📥 MF Data Input'!B19</f>
        <v/>
      </c>
      <c r="C85" s="73">
        <f>'📥 MF Data Input'!C19</f>
        <v/>
      </c>
      <c r="D85" s="27">
        <f>'📥 MF Data Input'!L19</f>
        <v/>
      </c>
      <c r="E85" s="28">
        <f>'📊 MF Analysis'!H19</f>
        <v/>
      </c>
      <c r="F85" s="28">
        <f>'📊 MF Analysis'!J19</f>
        <v/>
      </c>
      <c r="G85" s="42">
        <f>'📊 MF Analysis'!K19</f>
        <v/>
      </c>
      <c r="H85" s="43">
        <f>'📊 MF Analysis'!L19</f>
        <v/>
      </c>
    </row>
    <row r="86" ht="16.5" customHeight="1" s="59">
      <c r="A86" s="44">
        <f>'📥 MF Data Input'!A20</f>
        <v/>
      </c>
      <c r="B86" s="44">
        <f>'📥 MF Data Input'!B20</f>
        <v/>
      </c>
      <c r="C86" s="44">
        <f>'📥 MF Data Input'!C20</f>
        <v/>
      </c>
      <c r="D86" s="34">
        <f>'📥 MF Data Input'!L20</f>
        <v/>
      </c>
      <c r="E86" s="35">
        <f>'📊 MF Analysis'!H20</f>
        <v/>
      </c>
      <c r="F86" s="35">
        <f>'📊 MF Analysis'!J20</f>
        <v/>
      </c>
      <c r="G86" s="46">
        <f>'📊 MF Analysis'!K20</f>
        <v/>
      </c>
      <c r="H86" s="47">
        <f>'📊 MF Analysis'!L20</f>
        <v/>
      </c>
    </row>
    <row r="87" ht="16.5" customHeight="1" s="59">
      <c r="A87" s="73">
        <f>'📥 MF Data Input'!A21</f>
        <v/>
      </c>
      <c r="B87" s="73">
        <f>'📥 MF Data Input'!B21</f>
        <v/>
      </c>
      <c r="C87" s="73">
        <f>'📥 MF Data Input'!C21</f>
        <v/>
      </c>
      <c r="D87" s="27">
        <f>'📥 MF Data Input'!L21</f>
        <v/>
      </c>
      <c r="E87" s="28">
        <f>'📊 MF Analysis'!H21</f>
        <v/>
      </c>
      <c r="F87" s="28">
        <f>'📊 MF Analysis'!J21</f>
        <v/>
      </c>
      <c r="G87" s="42">
        <f>'📊 MF Analysis'!K21</f>
        <v/>
      </c>
      <c r="H87" s="43">
        <f>'📊 MF Analysis'!L21</f>
        <v/>
      </c>
    </row>
    <row r="88" ht="16.5" customHeight="1" s="59">
      <c r="A88" s="44">
        <f>'📥 MF Data Input'!A22</f>
        <v/>
      </c>
      <c r="B88" s="44">
        <f>'📥 MF Data Input'!B22</f>
        <v/>
      </c>
      <c r="C88" s="44">
        <f>'📥 MF Data Input'!C22</f>
        <v/>
      </c>
      <c r="D88" s="34">
        <f>'📥 MF Data Input'!L22</f>
        <v/>
      </c>
      <c r="E88" s="35">
        <f>'📊 MF Analysis'!H22</f>
        <v/>
      </c>
      <c r="F88" s="35">
        <f>'📊 MF Analysis'!J22</f>
        <v/>
      </c>
      <c r="G88" s="46">
        <f>'📊 MF Analysis'!K22</f>
        <v/>
      </c>
      <c r="H88" s="47">
        <f>'📊 MF Analysis'!L22</f>
        <v/>
      </c>
    </row>
    <row r="89" ht="16.5" customHeight="1" s="59">
      <c r="A89" s="73">
        <f>'📥 MF Data Input'!A23</f>
        <v/>
      </c>
      <c r="B89" s="73">
        <f>'📥 MF Data Input'!B23</f>
        <v/>
      </c>
      <c r="C89" s="73">
        <f>'📥 MF Data Input'!C23</f>
        <v/>
      </c>
      <c r="D89" s="27">
        <f>'📥 MF Data Input'!L23</f>
        <v/>
      </c>
      <c r="E89" s="28">
        <f>'📊 MF Analysis'!H23</f>
        <v/>
      </c>
      <c r="F89" s="28">
        <f>'📊 MF Analysis'!J23</f>
        <v/>
      </c>
      <c r="G89" s="42">
        <f>'📊 MF Analysis'!K23</f>
        <v/>
      </c>
      <c r="H89" s="43">
        <f>'📊 MF Analysis'!L23</f>
        <v/>
      </c>
    </row>
    <row r="90" ht="16.5" customHeight="1" s="59">
      <c r="A90" s="44">
        <f>'📥 MF Data Input'!A24</f>
        <v/>
      </c>
      <c r="B90" s="44">
        <f>'📥 MF Data Input'!B24</f>
        <v/>
      </c>
      <c r="C90" s="44">
        <f>'📥 MF Data Input'!C24</f>
        <v/>
      </c>
      <c r="D90" s="34">
        <f>'📥 MF Data Input'!L24</f>
        <v/>
      </c>
      <c r="E90" s="35">
        <f>'📊 MF Analysis'!H24</f>
        <v/>
      </c>
      <c r="F90" s="35">
        <f>'📊 MF Analysis'!J24</f>
        <v/>
      </c>
      <c r="G90" s="46">
        <f>'📊 MF Analysis'!K24</f>
        <v/>
      </c>
      <c r="H90" s="47">
        <f>'📊 MF Analysis'!L24</f>
        <v/>
      </c>
    </row>
    <row r="91" ht="16.5" customHeight="1" s="59">
      <c r="A91" s="73">
        <f>'📥 MF Data Input'!A25</f>
        <v/>
      </c>
      <c r="B91" s="73">
        <f>'📥 MF Data Input'!B25</f>
        <v/>
      </c>
      <c r="C91" s="73">
        <f>'📥 MF Data Input'!C25</f>
        <v/>
      </c>
      <c r="D91" s="27">
        <f>'📥 MF Data Input'!L25</f>
        <v/>
      </c>
      <c r="E91" s="28">
        <f>'📊 MF Analysis'!H25</f>
        <v/>
      </c>
      <c r="F91" s="28">
        <f>'📊 MF Analysis'!J25</f>
        <v/>
      </c>
      <c r="G91" s="42">
        <f>'📊 MF Analysis'!K25</f>
        <v/>
      </c>
      <c r="H91" s="43">
        <f>'📊 MF Analysis'!L25</f>
        <v/>
      </c>
    </row>
    <row r="92" ht="16.5" customHeight="1" s="59">
      <c r="A92" s="44">
        <f>'📥 MF Data Input'!A26</f>
        <v/>
      </c>
      <c r="B92" s="44">
        <f>'📥 MF Data Input'!B26</f>
        <v/>
      </c>
      <c r="C92" s="44">
        <f>'📥 MF Data Input'!C26</f>
        <v/>
      </c>
      <c r="D92" s="34">
        <f>'📥 MF Data Input'!L26</f>
        <v/>
      </c>
      <c r="E92" s="35">
        <f>'📊 MF Analysis'!H26</f>
        <v/>
      </c>
      <c r="F92" s="35">
        <f>'📊 MF Analysis'!J26</f>
        <v/>
      </c>
      <c r="G92" s="46">
        <f>'📊 MF Analysis'!K26</f>
        <v/>
      </c>
      <c r="H92" s="47">
        <f>'📊 MF Analysis'!L26</f>
        <v/>
      </c>
    </row>
    <row r="93" ht="16.5" customHeight="1" s="59">
      <c r="A93" s="73">
        <f>'📥 MF Data Input'!A27</f>
        <v/>
      </c>
      <c r="B93" s="73">
        <f>'📥 MF Data Input'!B27</f>
        <v/>
      </c>
      <c r="C93" s="73">
        <f>'📥 MF Data Input'!C27</f>
        <v/>
      </c>
      <c r="D93" s="27">
        <f>'📥 MF Data Input'!L27</f>
        <v/>
      </c>
      <c r="E93" s="28">
        <f>'📊 MF Analysis'!H27</f>
        <v/>
      </c>
      <c r="F93" s="28">
        <f>'📊 MF Analysis'!J27</f>
        <v/>
      </c>
      <c r="G93" s="42">
        <f>'📊 MF Analysis'!K27</f>
        <v/>
      </c>
      <c r="H93" s="43">
        <f>'📊 MF Analysis'!L27</f>
        <v/>
      </c>
    </row>
    <row r="94" ht="16.5" customHeight="1" s="59">
      <c r="A94" s="44">
        <f>'📥 MF Data Input'!A28</f>
        <v/>
      </c>
      <c r="B94" s="44">
        <f>'📥 MF Data Input'!B28</f>
        <v/>
      </c>
      <c r="C94" s="44">
        <f>'📥 MF Data Input'!C28</f>
        <v/>
      </c>
      <c r="D94" s="34">
        <f>'📥 MF Data Input'!L28</f>
        <v/>
      </c>
      <c r="E94" s="35">
        <f>'📊 MF Analysis'!H28</f>
        <v/>
      </c>
      <c r="F94" s="35">
        <f>'📊 MF Analysis'!J28</f>
        <v/>
      </c>
      <c r="G94" s="46">
        <f>'📊 MF Analysis'!K28</f>
        <v/>
      </c>
      <c r="H94" s="47">
        <f>'📊 MF Analysis'!L28</f>
        <v/>
      </c>
    </row>
    <row r="95" ht="16.5" customHeight="1" s="59">
      <c r="A95" s="73">
        <f>'📥 MF Data Input'!A29</f>
        <v/>
      </c>
      <c r="B95" s="73">
        <f>'📥 MF Data Input'!B29</f>
        <v/>
      </c>
      <c r="C95" s="73">
        <f>'📥 MF Data Input'!C29</f>
        <v/>
      </c>
      <c r="D95" s="27">
        <f>'📥 MF Data Input'!L29</f>
        <v/>
      </c>
      <c r="E95" s="28">
        <f>'📊 MF Analysis'!H29</f>
        <v/>
      </c>
      <c r="F95" s="28">
        <f>'📊 MF Analysis'!J29</f>
        <v/>
      </c>
      <c r="G95" s="42">
        <f>'📊 MF Analysis'!K29</f>
        <v/>
      </c>
      <c r="H95" s="43">
        <f>'📊 MF Analysis'!L29</f>
        <v/>
      </c>
    </row>
    <row r="96" ht="16.5" customHeight="1" s="59">
      <c r="A96" s="44">
        <f>'📥 MF Data Input'!A30</f>
        <v/>
      </c>
      <c r="B96" s="44">
        <f>'📥 MF Data Input'!B30</f>
        <v/>
      </c>
      <c r="C96" s="44">
        <f>'📥 MF Data Input'!C30</f>
        <v/>
      </c>
      <c r="D96" s="34">
        <f>'📥 MF Data Input'!L30</f>
        <v/>
      </c>
      <c r="E96" s="35">
        <f>'📊 MF Analysis'!H30</f>
        <v/>
      </c>
      <c r="F96" s="35">
        <f>'📊 MF Analysis'!J30</f>
        <v/>
      </c>
      <c r="G96" s="46">
        <f>'📊 MF Analysis'!K30</f>
        <v/>
      </c>
      <c r="H96" s="47">
        <f>'📊 MF Analysis'!L30</f>
        <v/>
      </c>
    </row>
    <row r="97" ht="16.5" customHeight="1" s="59">
      <c r="A97" s="73">
        <f>'📥 MF Data Input'!A31</f>
        <v/>
      </c>
      <c r="B97" s="73">
        <f>'📥 MF Data Input'!B31</f>
        <v/>
      </c>
      <c r="C97" s="73">
        <f>'📥 MF Data Input'!C31</f>
        <v/>
      </c>
      <c r="D97" s="27">
        <f>'📥 MF Data Input'!L31</f>
        <v/>
      </c>
      <c r="E97" s="28">
        <f>'📊 MF Analysis'!H31</f>
        <v/>
      </c>
      <c r="F97" s="28">
        <f>'📊 MF Analysis'!J31</f>
        <v/>
      </c>
      <c r="G97" s="42">
        <f>'📊 MF Analysis'!K31</f>
        <v/>
      </c>
      <c r="H97" s="43">
        <f>'📊 MF Analysis'!L31</f>
        <v/>
      </c>
    </row>
    <row r="98" ht="16.5" customHeight="1" s="59">
      <c r="A98" s="44">
        <f>'📥 MF Data Input'!A32</f>
        <v/>
      </c>
      <c r="B98" s="44">
        <f>'📥 MF Data Input'!B32</f>
        <v/>
      </c>
      <c r="C98" s="44">
        <f>'📥 MF Data Input'!C32</f>
        <v/>
      </c>
      <c r="D98" s="34">
        <f>'📥 MF Data Input'!L32</f>
        <v/>
      </c>
      <c r="E98" s="35">
        <f>'📊 MF Analysis'!H32</f>
        <v/>
      </c>
      <c r="F98" s="35">
        <f>'📊 MF Analysis'!J32</f>
        <v/>
      </c>
      <c r="G98" s="46">
        <f>'📊 MF Analysis'!K32</f>
        <v/>
      </c>
      <c r="H98" s="47">
        <f>'📊 MF Analysis'!L32</f>
        <v/>
      </c>
    </row>
    <row r="99" ht="16.5" customHeight="1" s="59">
      <c r="A99" s="73">
        <f>'📥 MF Data Input'!A33</f>
        <v/>
      </c>
      <c r="B99" s="73">
        <f>'📥 MF Data Input'!B33</f>
        <v/>
      </c>
      <c r="C99" s="73">
        <f>'📥 MF Data Input'!C33</f>
        <v/>
      </c>
      <c r="D99" s="27">
        <f>'📥 MF Data Input'!L33</f>
        <v/>
      </c>
      <c r="E99" s="28">
        <f>'📊 MF Analysis'!H33</f>
        <v/>
      </c>
      <c r="F99" s="28">
        <f>'📊 MF Analysis'!J33</f>
        <v/>
      </c>
      <c r="G99" s="42">
        <f>'📊 MF Analysis'!K33</f>
        <v/>
      </c>
      <c r="H99" s="43">
        <f>'📊 MF Analysis'!L33</f>
        <v/>
      </c>
    </row>
    <row r="100" ht="16.5" customHeight="1" s="59">
      <c r="A100" s="44">
        <f>'📥 MF Data Input'!A34</f>
        <v/>
      </c>
      <c r="B100" s="44">
        <f>'📥 MF Data Input'!B34</f>
        <v/>
      </c>
      <c r="C100" s="44">
        <f>'📥 MF Data Input'!C34</f>
        <v/>
      </c>
      <c r="D100" s="34">
        <f>'📥 MF Data Input'!L34</f>
        <v/>
      </c>
      <c r="E100" s="35">
        <f>'📊 MF Analysis'!H34</f>
        <v/>
      </c>
      <c r="F100" s="35">
        <f>'📊 MF Analysis'!J34</f>
        <v/>
      </c>
      <c r="G100" s="46">
        <f>'📊 MF Analysis'!K34</f>
        <v/>
      </c>
      <c r="H100" s="47">
        <f>'📊 MF Analysis'!L34</f>
        <v/>
      </c>
    </row>
    <row r="101" ht="16.5" customHeight="1" s="59">
      <c r="A101" s="73">
        <f>'📥 MF Data Input'!A35</f>
        <v/>
      </c>
      <c r="B101" s="73">
        <f>'📥 MF Data Input'!B35</f>
        <v/>
      </c>
      <c r="C101" s="73">
        <f>'📥 MF Data Input'!C35</f>
        <v/>
      </c>
      <c r="D101" s="27">
        <f>'📥 MF Data Input'!L35</f>
        <v/>
      </c>
      <c r="E101" s="28">
        <f>'📊 MF Analysis'!H35</f>
        <v/>
      </c>
      <c r="F101" s="28">
        <f>'📊 MF Analysis'!J35</f>
        <v/>
      </c>
      <c r="G101" s="42">
        <f>'📊 MF Analysis'!K35</f>
        <v/>
      </c>
      <c r="H101" s="43">
        <f>'📊 MF Analysis'!L35</f>
        <v/>
      </c>
    </row>
    <row r="102" ht="16.5" customHeight="1" s="59">
      <c r="A102" s="44">
        <f>'📥 MF Data Input'!A36</f>
        <v/>
      </c>
      <c r="B102" s="44">
        <f>'📥 MF Data Input'!B36</f>
        <v/>
      </c>
      <c r="C102" s="44">
        <f>'📥 MF Data Input'!C36</f>
        <v/>
      </c>
      <c r="D102" s="34">
        <f>'📥 MF Data Input'!L36</f>
        <v/>
      </c>
      <c r="E102" s="35">
        <f>'📊 MF Analysis'!H36</f>
        <v/>
      </c>
      <c r="F102" s="35">
        <f>'📊 MF Analysis'!J36</f>
        <v/>
      </c>
      <c r="G102" s="46">
        <f>'📊 MF Analysis'!K36</f>
        <v/>
      </c>
      <c r="H102" s="47">
        <f>'📊 MF Analysis'!L36</f>
        <v/>
      </c>
    </row>
    <row r="103" ht="16.5" customHeight="1" s="59">
      <c r="A103" s="73">
        <f>'📥 MF Data Input'!A37</f>
        <v/>
      </c>
      <c r="B103" s="73">
        <f>'📥 MF Data Input'!B37</f>
        <v/>
      </c>
      <c r="C103" s="73">
        <f>'📥 MF Data Input'!C37</f>
        <v/>
      </c>
      <c r="D103" s="27">
        <f>'📥 MF Data Input'!L37</f>
        <v/>
      </c>
      <c r="E103" s="28">
        <f>'📊 MF Analysis'!H37</f>
        <v/>
      </c>
      <c r="F103" s="28">
        <f>'📊 MF Analysis'!J37</f>
        <v/>
      </c>
      <c r="G103" s="42">
        <f>'📊 MF Analysis'!K37</f>
        <v/>
      </c>
      <c r="H103" s="43">
        <f>'📊 MF Analysis'!L37</f>
        <v/>
      </c>
    </row>
    <row r="104" ht="16.5" customHeight="1" s="59">
      <c r="A104" s="44">
        <f>'📥 MF Data Input'!A38</f>
        <v/>
      </c>
      <c r="B104" s="44">
        <f>'📥 MF Data Input'!B38</f>
        <v/>
      </c>
      <c r="C104" s="44">
        <f>'📥 MF Data Input'!C38</f>
        <v/>
      </c>
      <c r="D104" s="34">
        <f>'📥 MF Data Input'!L38</f>
        <v/>
      </c>
      <c r="E104" s="35">
        <f>'📊 MF Analysis'!H38</f>
        <v/>
      </c>
      <c r="F104" s="35">
        <f>'📊 MF Analysis'!J38</f>
        <v/>
      </c>
      <c r="G104" s="46">
        <f>'📊 MF Analysis'!K38</f>
        <v/>
      </c>
      <c r="H104" s="47">
        <f>'📊 MF Analysis'!L38</f>
        <v/>
      </c>
    </row>
    <row r="105" ht="16.5" customHeight="1" s="59">
      <c r="A105" s="73">
        <f>'📥 MF Data Input'!A39</f>
        <v/>
      </c>
      <c r="B105" s="73">
        <f>'📥 MF Data Input'!B39</f>
        <v/>
      </c>
      <c r="C105" s="73">
        <f>'📥 MF Data Input'!C39</f>
        <v/>
      </c>
      <c r="D105" s="27">
        <f>'📥 MF Data Input'!L39</f>
        <v/>
      </c>
      <c r="E105" s="28">
        <f>'📊 MF Analysis'!H39</f>
        <v/>
      </c>
      <c r="F105" s="28">
        <f>'📊 MF Analysis'!J39</f>
        <v/>
      </c>
      <c r="G105" s="42">
        <f>'📊 MF Analysis'!K39</f>
        <v/>
      </c>
      <c r="H105" s="43">
        <f>'📊 MF Analysis'!L39</f>
        <v/>
      </c>
    </row>
    <row r="106" ht="16.5" customHeight="1" s="59">
      <c r="A106" s="44">
        <f>'📥 MF Data Input'!A40</f>
        <v/>
      </c>
      <c r="B106" s="44">
        <f>'📥 MF Data Input'!B40</f>
        <v/>
      </c>
      <c r="C106" s="44">
        <f>'📥 MF Data Input'!C40</f>
        <v/>
      </c>
      <c r="D106" s="34">
        <f>'📥 MF Data Input'!L40</f>
        <v/>
      </c>
      <c r="E106" s="35">
        <f>'📊 MF Analysis'!H40</f>
        <v/>
      </c>
      <c r="F106" s="35">
        <f>'📊 MF Analysis'!J40</f>
        <v/>
      </c>
      <c r="G106" s="46">
        <f>'📊 MF Analysis'!K40</f>
        <v/>
      </c>
      <c r="H106" s="47">
        <f>'📊 MF Analysis'!L40</f>
        <v/>
      </c>
    </row>
    <row r="107" ht="16.5" customHeight="1" s="59">
      <c r="A107" s="73">
        <f>'📥 MF Data Input'!A41</f>
        <v/>
      </c>
      <c r="B107" s="73">
        <f>'📥 MF Data Input'!B41</f>
        <v/>
      </c>
      <c r="C107" s="73">
        <f>'📥 MF Data Input'!C41</f>
        <v/>
      </c>
      <c r="D107" s="27">
        <f>'📥 MF Data Input'!L41</f>
        <v/>
      </c>
      <c r="E107" s="28">
        <f>'📊 MF Analysis'!H41</f>
        <v/>
      </c>
      <c r="F107" s="28">
        <f>'📊 MF Analysis'!J41</f>
        <v/>
      </c>
      <c r="G107" s="42">
        <f>'📊 MF Analysis'!K41</f>
        <v/>
      </c>
      <c r="H107" s="43">
        <f>'📊 MF Analysis'!L41</f>
        <v/>
      </c>
    </row>
    <row r="108" ht="16.5" customHeight="1" s="59">
      <c r="A108" s="44">
        <f>'📥 MF Data Input'!A42</f>
        <v/>
      </c>
      <c r="B108" s="44">
        <f>'📥 MF Data Input'!B42</f>
        <v/>
      </c>
      <c r="C108" s="44">
        <f>'📥 MF Data Input'!C42</f>
        <v/>
      </c>
      <c r="D108" s="34">
        <f>'📥 MF Data Input'!L42</f>
        <v/>
      </c>
      <c r="E108" s="35">
        <f>'📊 MF Analysis'!H42</f>
        <v/>
      </c>
      <c r="F108" s="35">
        <f>'📊 MF Analysis'!J42</f>
        <v/>
      </c>
      <c r="G108" s="46">
        <f>'📊 MF Analysis'!K42</f>
        <v/>
      </c>
      <c r="H108" s="47">
        <f>'📊 MF Analysis'!L42</f>
        <v/>
      </c>
    </row>
    <row r="109" ht="16.5" customHeight="1" s="59">
      <c r="A109" s="73">
        <f>'📥 MF Data Input'!A43</f>
        <v/>
      </c>
      <c r="B109" s="73">
        <f>'📥 MF Data Input'!B43</f>
        <v/>
      </c>
      <c r="C109" s="73">
        <f>'📥 MF Data Input'!C43</f>
        <v/>
      </c>
      <c r="D109" s="27">
        <f>'📥 MF Data Input'!L43</f>
        <v/>
      </c>
      <c r="E109" s="28">
        <f>'📊 MF Analysis'!H43</f>
        <v/>
      </c>
      <c r="F109" s="28">
        <f>'📊 MF Analysis'!J43</f>
        <v/>
      </c>
      <c r="G109" s="42">
        <f>'📊 MF Analysis'!K43</f>
        <v/>
      </c>
      <c r="H109" s="43">
        <f>'📊 MF Analysis'!L43</f>
        <v/>
      </c>
    </row>
    <row r="110" ht="16.5" customHeight="1" s="59">
      <c r="A110" s="44">
        <f>'📥 MF Data Input'!A44</f>
        <v/>
      </c>
      <c r="B110" s="44">
        <f>'📥 MF Data Input'!B44</f>
        <v/>
      </c>
      <c r="C110" s="44">
        <f>'📥 MF Data Input'!C44</f>
        <v/>
      </c>
      <c r="D110" s="34">
        <f>'📥 MF Data Input'!L44</f>
        <v/>
      </c>
      <c r="E110" s="35">
        <f>'📊 MF Analysis'!H44</f>
        <v/>
      </c>
      <c r="F110" s="35">
        <f>'📊 MF Analysis'!J44</f>
        <v/>
      </c>
      <c r="G110" s="46">
        <f>'📊 MF Analysis'!K44</f>
        <v/>
      </c>
      <c r="H110" s="47">
        <f>'📊 MF Analysis'!L44</f>
        <v/>
      </c>
    </row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14">
    <mergeCell ref="A13:G13"/>
    <mergeCell ref="A14:G14"/>
    <mergeCell ref="A4:H4"/>
    <mergeCell ref="A69:H69"/>
    <mergeCell ref="A9:G9"/>
    <mergeCell ref="A8:G8"/>
    <mergeCell ref="A6:G6"/>
    <mergeCell ref="A2:H2"/>
    <mergeCell ref="A16:H16"/>
    <mergeCell ref="A12:G12"/>
    <mergeCell ref="A7:G7"/>
    <mergeCell ref="A1:H1"/>
    <mergeCell ref="A11:G11"/>
    <mergeCell ref="A10:G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Investment Tracker</dc:creator>
  <dcterms:created xsi:type="dcterms:W3CDTF">2026-05-25T11:08:31Z</dcterms:created>
  <dcterms:modified xsi:type="dcterms:W3CDTF">2026-06-29T13:19:22Z</dcterms:modified>
  <cp:lastModifiedBy>Krish Mehta</cp:lastModifiedBy>
</cp:coreProperties>
</file>