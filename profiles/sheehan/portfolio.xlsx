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📋 How To Use" sheetId="1" state="visible" r:id="rId1"/>
    <sheet name="🎯 Dashboard" sheetId="2" state="visible" r:id="rId2"/>
    <sheet name="📥 Stock Data Input" sheetId="3" state="visible" r:id="rId3"/>
    <sheet name="📥 MF Data Input" sheetId="4" state="visible" r:id="rId4"/>
    <sheet name="📊 Stock Analysis" sheetId="5" state="visible" r:id="rId5"/>
    <sheet name="📊 MF Analysis" sheetId="6" state="visible" r:id="rId6"/>
    <sheet name="📈 Sector Allocation" sheetId="7" state="visible" r:id="rId7"/>
    <sheet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yyyy-mm-dd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86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165" fontId="17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16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82" t="inlineStr">
        <is>
          <t>ADANI POWER LTD</t>
        </is>
      </c>
      <c r="B4" s="83" t="inlineStr">
        <is>
          <t>NSE</t>
        </is>
      </c>
      <c r="C4" s="83" t="inlineStr">
        <is>
          <t>Utilities</t>
        </is>
      </c>
      <c r="D4" s="84" t="n">
        <v>90</v>
      </c>
      <c r="E4" s="84" t="n">
        <v>101.3</v>
      </c>
      <c r="F4" s="83" t="inlineStr"/>
      <c r="G4" s="84" t="n">
        <v>223.07</v>
      </c>
      <c r="J4" s="84">
        <f>D4*E4</f>
        <v/>
      </c>
      <c r="K4" s="84">
        <f>D4*G4</f>
        <v/>
      </c>
      <c r="L4" s="84">
        <f>K4-J4</f>
        <v/>
      </c>
      <c r="M4" s="84">
        <f>IF(J4=0,0,L4/J4)</f>
        <v/>
      </c>
      <c r="P4" s="84" t="n">
        <v>0</v>
      </c>
      <c r="Q4" s="83">
        <f>IF(ISBLANK(F4),"",IF(TODAY()-F4&gt;365,"LTCG","STCG"))</f>
        <v/>
      </c>
      <c r="R4" s="84">
        <f>L4+IF(ISNUMBER(P4),P4,0)</f>
        <v/>
      </c>
    </row>
    <row r="5" ht="16.5" customHeight="1" s="59">
      <c r="A5" s="82" t="inlineStr">
        <is>
          <t>COAL INDIA LTD</t>
        </is>
      </c>
      <c r="B5" s="83" t="inlineStr">
        <is>
          <t>NSE</t>
        </is>
      </c>
      <c r="C5" s="83" t="inlineStr">
        <is>
          <t>Energy</t>
        </is>
      </c>
      <c r="D5" s="84" t="n">
        <v>8</v>
      </c>
      <c r="E5" s="84" t="n">
        <v>413.25</v>
      </c>
      <c r="F5" s="83" t="inlineStr"/>
      <c r="G5" s="84" t="n">
        <v>464.9</v>
      </c>
      <c r="J5" s="84">
        <f>D5*E5</f>
        <v/>
      </c>
      <c r="K5" s="84">
        <f>D5*G5</f>
        <v/>
      </c>
      <c r="L5" s="84">
        <f>K5-J5</f>
        <v/>
      </c>
      <c r="M5" s="84">
        <f>IF(J5=0,0,L5/J5)</f>
        <v/>
      </c>
      <c r="P5" s="84" t="n">
        <v>0</v>
      </c>
      <c r="Q5" s="83">
        <f>IF(ISBLANK(F5),"",IF(TODAY()-F5&gt;365,"LTCG","STCG"))</f>
        <v/>
      </c>
      <c r="R5" s="84">
        <f>L5+IF(ISNUMBER(P5),P5,0)</f>
        <v/>
      </c>
    </row>
    <row r="6" ht="16.5" customHeight="1" s="59">
      <c r="A6" s="82" t="inlineStr">
        <is>
          <t>ETERNAL LIMITED</t>
        </is>
      </c>
      <c r="B6" s="83" t="inlineStr">
        <is>
          <t>NSE</t>
        </is>
      </c>
      <c r="C6" s="83" t="inlineStr">
        <is>
          <t>Consumer Discretionary</t>
        </is>
      </c>
      <c r="D6" s="84" t="n">
        <v>26</v>
      </c>
      <c r="E6" s="84" t="n">
        <v>246.68</v>
      </c>
      <c r="F6" s="83" t="inlineStr"/>
      <c r="G6" s="84" t="n">
        <v>243.8</v>
      </c>
      <c r="J6" s="84">
        <f>D6*E6</f>
        <v/>
      </c>
      <c r="K6" s="84">
        <f>D6*G6</f>
        <v/>
      </c>
      <c r="L6" s="84">
        <f>K6-J6</f>
        <v/>
      </c>
      <c r="M6" s="84">
        <f>IF(J6=0,0,L6/J6)</f>
        <v/>
      </c>
      <c r="P6" s="84" t="n">
        <v>0</v>
      </c>
      <c r="Q6" s="83">
        <f>IF(ISBLANK(F6),"",IF(TODAY()-F6&gt;365,"LTCG","STCG"))</f>
        <v/>
      </c>
      <c r="R6" s="84">
        <f>L6+IF(ISNUMBER(P6),P6,0)</f>
        <v/>
      </c>
    </row>
    <row r="7" ht="16.5" customHeight="1" s="59">
      <c r="A7" s="82" t="inlineStr">
        <is>
          <t>INDIAN OIL CORP LTD</t>
        </is>
      </c>
      <c r="B7" s="83" t="inlineStr">
        <is>
          <t>NSE</t>
        </is>
      </c>
      <c r="C7" s="83" t="inlineStr">
        <is>
          <t>Energy</t>
        </is>
      </c>
      <c r="D7" s="84" t="n">
        <v>14</v>
      </c>
      <c r="E7" s="84" t="n">
        <v>115.73</v>
      </c>
      <c r="F7" s="83" t="inlineStr"/>
      <c r="G7" s="84" t="n">
        <v>140.94</v>
      </c>
      <c r="J7" s="84">
        <f>D7*E7</f>
        <v/>
      </c>
      <c r="K7" s="84">
        <f>D7*G7</f>
        <v/>
      </c>
      <c r="L7" s="84">
        <f>K7-J7</f>
        <v/>
      </c>
      <c r="M7" s="84">
        <f>IF(J7=0,0,L7/J7)</f>
        <v/>
      </c>
      <c r="P7" s="84" t="n">
        <v>0</v>
      </c>
      <c r="Q7" s="83">
        <f>IF(ISBLANK(F7),"",IF(TODAY()-F7&gt;365,"LTCG","STCG"))</f>
        <v/>
      </c>
      <c r="R7" s="84">
        <f>L7+IF(ISNUMBER(P7),P7,0)</f>
        <v/>
      </c>
    </row>
    <row r="8" ht="16.5" customHeight="1" s="59">
      <c r="A8" s="82" t="inlineStr">
        <is>
          <t>MAHINDRA &amp; MAHINDRA LTD</t>
        </is>
      </c>
      <c r="B8" s="83" t="inlineStr">
        <is>
          <t>NSE</t>
        </is>
      </c>
      <c r="C8" s="83" t="inlineStr">
        <is>
          <t>Consumer Discretionary</t>
        </is>
      </c>
      <c r="D8" s="84" t="n">
        <v>5</v>
      </c>
      <c r="E8" s="84" t="n">
        <v>2689.81</v>
      </c>
      <c r="F8" s="83" t="inlineStr"/>
      <c r="G8" s="84" t="n">
        <v>3042.9</v>
      </c>
      <c r="J8" s="84">
        <f>D8*E8</f>
        <v/>
      </c>
      <c r="K8" s="84">
        <f>D8*G8</f>
        <v/>
      </c>
      <c r="L8" s="84">
        <f>K8-J8</f>
        <v/>
      </c>
      <c r="M8" s="84">
        <f>IF(J8=0,0,L8/J8)</f>
        <v/>
      </c>
      <c r="P8" s="84" t="n">
        <v>0</v>
      </c>
      <c r="Q8" s="83">
        <f>IF(ISBLANK(F8),"",IF(TODAY()-F8&gt;365,"LTCG","STCG"))</f>
        <v/>
      </c>
      <c r="R8" s="84">
        <f>L8+IF(ISNUMBER(P8),P8,0)</f>
        <v/>
      </c>
    </row>
    <row r="9" ht="16.5" customHeight="1" s="59">
      <c r="A9" s="82" t="inlineStr">
        <is>
          <t>MOTILALAMC - MONIFTY500</t>
        </is>
      </c>
      <c r="B9" s="83" t="inlineStr">
        <is>
          <t>NSE</t>
        </is>
      </c>
      <c r="C9" s="83" t="inlineStr">
        <is>
          <t>ETF</t>
        </is>
      </c>
      <c r="D9" s="84" t="n">
        <v>65</v>
      </c>
      <c r="E9" s="84" t="n">
        <v>23.05</v>
      </c>
      <c r="F9" s="83" t="inlineStr"/>
      <c r="G9" s="84" t="n">
        <v>23.06</v>
      </c>
      <c r="J9" s="84">
        <f>D9*E9</f>
        <v/>
      </c>
      <c r="K9" s="84">
        <f>D9*G9</f>
        <v/>
      </c>
      <c r="L9" s="84">
        <f>K9-J9</f>
        <v/>
      </c>
      <c r="M9" s="84">
        <f>IF(J9=0,0,L9/J9)</f>
        <v/>
      </c>
      <c r="P9" s="84" t="n">
        <v>0</v>
      </c>
      <c r="Q9" s="83">
        <f>IF(ISBLANK(F9),"",IF(TODAY()-F9&gt;365,"LTCG","STCG"))</f>
        <v/>
      </c>
      <c r="R9" s="84">
        <f>L9+IF(ISNUMBER(P9),P9,0)</f>
        <v/>
      </c>
    </row>
    <row r="10" ht="16.5" customHeight="1" s="59">
      <c r="A10" s="82" t="inlineStr">
        <is>
          <t>NIP IND ETF GOLD BEES</t>
        </is>
      </c>
      <c r="B10" s="83" t="inlineStr">
        <is>
          <t>NSE</t>
        </is>
      </c>
      <c r="C10" s="83" t="inlineStr">
        <is>
          <t>ETF</t>
        </is>
      </c>
      <c r="D10" s="84" t="n">
        <v>14</v>
      </c>
      <c r="E10" s="84" t="n">
        <v>114.82</v>
      </c>
      <c r="F10" s="83" t="inlineStr"/>
      <c r="G10" s="84" t="n">
        <v>124.16</v>
      </c>
      <c r="J10" s="84">
        <f>D10*E10</f>
        <v/>
      </c>
      <c r="K10" s="84">
        <f>D10*G10</f>
        <v/>
      </c>
      <c r="L10" s="84">
        <f>K10-J10</f>
        <v/>
      </c>
      <c r="M10" s="84">
        <f>IF(J10=0,0,L10/J10)</f>
        <v/>
      </c>
      <c r="P10" s="84" t="n">
        <v>0</v>
      </c>
      <c r="Q10" s="83">
        <f>IF(ISBLANK(F10),"",IF(TODAY()-F10&gt;365,"LTCG","STCG"))</f>
        <v/>
      </c>
      <c r="R10" s="84">
        <f>L10+IF(ISNUMBER(P10),P10,0)</f>
        <v/>
      </c>
    </row>
    <row r="11" ht="16.5" customHeight="1" s="59">
      <c r="A11" s="82" t="inlineStr">
        <is>
          <t>TATA MOTORS LIMITED</t>
        </is>
      </c>
      <c r="B11" s="83" t="inlineStr">
        <is>
          <t>NSE</t>
        </is>
      </c>
      <c r="C11" s="83" t="inlineStr">
        <is>
          <t>Consumer Discretionary</t>
        </is>
      </c>
      <c r="D11" s="84" t="n">
        <v>5</v>
      </c>
      <c r="E11" s="84" t="n">
        <v>194.81</v>
      </c>
      <c r="F11" s="83" t="inlineStr"/>
      <c r="G11" s="84" t="n">
        <v>390.3</v>
      </c>
      <c r="J11" s="84">
        <f>D11*E11</f>
        <v/>
      </c>
      <c r="K11" s="84">
        <f>D11*G11</f>
        <v/>
      </c>
      <c r="L11" s="84">
        <f>K11-J11</f>
        <v/>
      </c>
      <c r="M11" s="84">
        <f>IF(J11=0,0,L11/J11)</f>
        <v/>
      </c>
      <c r="P11" s="84" t="n">
        <v>0</v>
      </c>
      <c r="Q11" s="83">
        <f>IF(ISBLANK(F11),"",IF(TODAY()-F11&gt;365,"LTCG","STCG"))</f>
        <v/>
      </c>
      <c r="R11" s="84">
        <f>L11+IF(ISNUMBER(P11),P11,0)</f>
        <v/>
      </c>
    </row>
    <row r="12" ht="16.5" customHeight="1" s="59">
      <c r="A12" s="82" t="inlineStr">
        <is>
          <t>TATA MOTORS PASS VEH LTD</t>
        </is>
      </c>
      <c r="B12" s="83" t="inlineStr">
        <is>
          <t>NSE</t>
        </is>
      </c>
      <c r="C12" s="83" t="inlineStr">
        <is>
          <t>Consumer Discretionary</t>
        </is>
      </c>
      <c r="D12" s="84" t="n">
        <v>5</v>
      </c>
      <c r="E12" s="84" t="n">
        <v>430.58</v>
      </c>
      <c r="F12" s="83" t="inlineStr"/>
      <c r="G12" s="84" t="n">
        <v>390</v>
      </c>
      <c r="J12" s="84">
        <f>D12*E12</f>
        <v/>
      </c>
      <c r="K12" s="84">
        <f>D12*G12</f>
        <v/>
      </c>
      <c r="L12" s="84">
        <f>K12-J12</f>
        <v/>
      </c>
      <c r="M12" s="84">
        <f>IF(J12=0,0,L12/J12)</f>
        <v/>
      </c>
      <c r="P12" s="84" t="n">
        <v>0</v>
      </c>
      <c r="Q12" s="83">
        <f>IF(ISBLANK(F12),"",IF(TODAY()-F12&gt;365,"LTCG","STCG"))</f>
        <v/>
      </c>
      <c r="R12" s="84">
        <f>L12+IF(ISNUMBER(P12),P12,0)</f>
        <v/>
      </c>
    </row>
    <row r="13" ht="16.5" customHeight="1" s="59">
      <c r="A13" s="82" t="inlineStr">
        <is>
          <t>TATA STEEL LIMITED</t>
        </is>
      </c>
      <c r="B13" s="83" t="inlineStr">
        <is>
          <t>NSE</t>
        </is>
      </c>
      <c r="C13" s="83" t="inlineStr">
        <is>
          <t>Materials</t>
        </is>
      </c>
      <c r="D13" s="84" t="n">
        <v>4</v>
      </c>
      <c r="E13" s="84" t="n">
        <v>135.85</v>
      </c>
      <c r="F13" s="83" t="inlineStr"/>
      <c r="G13" s="84" t="n">
        <v>197.86</v>
      </c>
      <c r="J13" s="84">
        <f>D13*E13</f>
        <v/>
      </c>
      <c r="K13" s="84">
        <f>D13*G13</f>
        <v/>
      </c>
      <c r="L13" s="84">
        <f>K13-J13</f>
        <v/>
      </c>
      <c r="M13" s="84">
        <f>IF(J13=0,0,L13/J13)</f>
        <v/>
      </c>
      <c r="P13" s="84" t="n">
        <v>0</v>
      </c>
      <c r="Q13" s="83">
        <f>IF(ISBLANK(F13),"",IF(TODAY()-F13&gt;365,"LTCG","STCG"))</f>
        <v/>
      </c>
      <c r="R13" s="84">
        <f>L13+IF(ISNUMBER(P13),P13,0)</f>
        <v/>
      </c>
    </row>
    <row r="14" ht="16.5" customHeight="1" s="59">
      <c r="A14" s="82" t="inlineStr">
        <is>
          <t>TATAAML-TATAGOLD</t>
        </is>
      </c>
      <c r="B14" s="83" t="inlineStr">
        <is>
          <t>NSE</t>
        </is>
      </c>
      <c r="C14" s="83" t="inlineStr">
        <is>
          <t>ETF</t>
        </is>
      </c>
      <c r="D14" s="84" t="n">
        <v>104</v>
      </c>
      <c r="E14" s="84" t="n">
        <v>14.62</v>
      </c>
      <c r="F14" s="83" t="inlineStr"/>
      <c r="G14" s="84" t="n">
        <v>14.3</v>
      </c>
      <c r="J14" s="84">
        <f>D14*E14</f>
        <v/>
      </c>
      <c r="K14" s="84">
        <f>D14*G14</f>
        <v/>
      </c>
      <c r="L14" s="84">
        <f>K14-J14</f>
        <v/>
      </c>
      <c r="M14" s="84">
        <f>IF(J14=0,0,L14/J14)</f>
        <v/>
      </c>
      <c r="P14" s="84" t="n">
        <v>0</v>
      </c>
      <c r="Q14" s="83">
        <f>IF(ISBLANK(F14),"",IF(TODAY()-F14&gt;365,"LTCG","STCG"))</f>
        <v/>
      </c>
      <c r="R14" s="84">
        <f>L14+IF(ISNUMBER(P14),P14,0)</f>
        <v/>
      </c>
    </row>
    <row r="15" ht="16.5" customHeight="1" s="59">
      <c r="A15" s="82" t="inlineStr">
        <is>
          <t>VEDANTA LIMITED</t>
        </is>
      </c>
      <c r="B15" s="83" t="inlineStr">
        <is>
          <t>NSE</t>
        </is>
      </c>
      <c r="C15" s="83" t="inlineStr">
        <is>
          <t>Materials</t>
        </is>
      </c>
      <c r="D15" s="84" t="n">
        <v>18</v>
      </c>
      <c r="E15" s="84" t="n">
        <v>467.7</v>
      </c>
      <c r="F15" s="83" t="inlineStr"/>
      <c r="G15" s="84" t="n">
        <v>304.25</v>
      </c>
      <c r="J15" s="84">
        <f>D15*E15</f>
        <v/>
      </c>
      <c r="K15" s="84">
        <f>D15*G15</f>
        <v/>
      </c>
      <c r="L15" s="84">
        <f>K15-J15</f>
        <v/>
      </c>
      <c r="M15" s="84">
        <f>IF(J15=0,0,L15/J15)</f>
        <v/>
      </c>
      <c r="P15" s="84" t="n">
        <v>0</v>
      </c>
      <c r="Q15" s="83">
        <f>IF(ISBLANK(F15),"",IF(TODAY()-F15&gt;365,"LTCG","STCG"))</f>
        <v/>
      </c>
      <c r="R15" s="84">
        <f>L15+IF(ISNUMBER(P15),P15,0)</f>
        <v/>
      </c>
    </row>
    <row r="16" ht="16.5" customHeight="1" s="59">
      <c r="A16" s="82" t="inlineStr">
        <is>
          <t>VODAFONE IDEA LIMITED</t>
        </is>
      </c>
      <c r="B16" s="83" t="inlineStr">
        <is>
          <t>NSE</t>
        </is>
      </c>
      <c r="C16" s="83" t="inlineStr">
        <is>
          <t>Communication</t>
        </is>
      </c>
      <c r="D16" s="84" t="n">
        <v>15</v>
      </c>
      <c r="E16" s="84" t="n">
        <v>9.220000000000001</v>
      </c>
      <c r="F16" s="83" t="inlineStr"/>
      <c r="G16" s="84" t="n">
        <v>14.4</v>
      </c>
      <c r="J16" s="84">
        <f>D16*E16</f>
        <v/>
      </c>
      <c r="K16" s="84">
        <f>D16*G16</f>
        <v/>
      </c>
      <c r="L16" s="84">
        <f>K16-J16</f>
        <v/>
      </c>
      <c r="M16" s="84">
        <f>IF(J16=0,0,L16/J16)</f>
        <v/>
      </c>
      <c r="P16" s="84" t="n">
        <v>0</v>
      </c>
      <c r="Q16" s="83">
        <f>IF(ISBLANK(F16),"",IF(TODAY()-F16&gt;365,"LTCG","STCG"))</f>
        <v/>
      </c>
      <c r="R16" s="84">
        <f>L16+IF(ISNUMBER(P16),P16,0)</f>
        <v/>
      </c>
    </row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/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9.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 Tracker</dc:creator>
  <dcterms:created xsi:type="dcterms:W3CDTF">2026-05-25T11:08:31Z</dcterms:created>
  <dcterms:modified xsi:type="dcterms:W3CDTF">2026-06-15T10:29:43Z</dcterms:modified>
  <cp:lastModifiedBy>Krish Mehta</cp:lastModifiedBy>
</cp:coreProperties>
</file>